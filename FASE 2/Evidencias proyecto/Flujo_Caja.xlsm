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scenario Bajo" sheetId="1" r:id="rId4"/>
    <sheet state="visible" name="Escenario Medio" sheetId="2" r:id="rId5"/>
    <sheet state="visible" name="Escenario Alto" sheetId="3" r:id="rId6"/>
    <sheet state="visible" name="Fuentes" sheetId="4" r:id="rId7"/>
    <sheet state="visible" name="Resumen Post-Lanzamiento" sheetId="5" r:id="rId8"/>
  </sheets>
  <definedNames/>
  <calcPr/>
  <extLst>
    <ext uri="GoogleSheetsCustomDataVersion2">
      <go:sheetsCustomData xmlns:go="http://customooxmlschemas.google.com/" r:id="rId9" roundtripDataChecksum="y7VSI4UujadHtu/DMEvOSrHQTvpipcNMP1jy7EZ+XPU="/>
    </ext>
  </extLst>
</workbook>
</file>

<file path=xl/sharedStrings.xml><?xml version="1.0" encoding="utf-8"?>
<sst xmlns="http://schemas.openxmlformats.org/spreadsheetml/2006/main" count="562" uniqueCount="255">
  <si>
    <t>FORMULARIO FLUJO DE CAJA - MAMORU</t>
  </si>
  <si>
    <t>INGRESOS Y EGRESOS</t>
  </si>
  <si>
    <t>FICHA PROYECTO</t>
  </si>
  <si>
    <t>FLUJOS DE CAJA</t>
  </si>
  <si>
    <t>Duración del proyecto</t>
  </si>
  <si>
    <t>Concepto</t>
  </si>
  <si>
    <t>Semana 1</t>
  </si>
  <si>
    <t>Semana 2</t>
  </si>
  <si>
    <t>Semana 3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</si>
  <si>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</si>
  <si>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</si>
  <si>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</si>
  <si>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</si>
  <si>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</si>
  <si>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</si>
  <si>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</si>
  <si>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</si>
  <si>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</si>
  <si>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</si>
  <si>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</si>
  <si>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</si>
  <si>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Total 15 semanas</t>
  </si>
  <si>
    <t>Integrantes del equipo</t>
  </si>
  <si>
    <t>Financiamiento / Cuotas Cliente</t>
  </si>
  <si>
    <t xml:space="preserve">Financiamiento / Cuotas Cliente </t>
  </si>
  <si>
    <t>Sueldo mensual / integrante</t>
  </si>
  <si>
    <t>Saldo período anterior</t>
  </si>
  <si>
    <t>Valor semanal / integrante</t>
  </si>
  <si>
    <t>Préstamos</t>
  </si>
  <si>
    <t>Contingencia</t>
  </si>
  <si>
    <t>Inversión adicional</t>
  </si>
  <si>
    <t>Equipamiento</t>
  </si>
  <si>
    <t>Capital inicial</t>
  </si>
  <si>
    <t>Supabase (15 semanas)</t>
  </si>
  <si>
    <t>TOTAL INGRESOS</t>
  </si>
  <si>
    <t>Render (15 semanas)</t>
  </si>
  <si>
    <t>FUENTES DE COSTOS Y REFERENCIAS - FLUJO DE CAJA MAMORU</t>
  </si>
  <si>
    <t>Figma (15 semanas)</t>
  </si>
  <si>
    <t>EGRESOS</t>
  </si>
  <si>
    <t>Código</t>
  </si>
  <si>
    <t>Dato utilizado</t>
  </si>
  <si>
    <t>Valor de referencia</t>
  </si>
  <si>
    <t>Fuente</t>
  </si>
  <si>
    <t>URL</t>
  </si>
  <si>
    <t>Fecha consulta</t>
  </si>
  <si>
    <t>Dominio .cl</t>
  </si>
  <si>
    <t>Antonella Valdés - desarrollo móvil / BD</t>
  </si>
  <si>
    <t>F1</t>
  </si>
  <si>
    <t>Salario Programador - escenario Bajo</t>
  </si>
  <si>
    <t>$1.006.968/mes</t>
  </si>
  <si>
    <t>Computrabajo Chile</t>
  </si>
  <si>
    <t>https://cl.computrabajo.com/salarios/programador</t>
  </si>
  <si>
    <t>27/09/2026</t>
  </si>
  <si>
    <t>F2</t>
  </si>
  <si>
    <t>Salario Desarrollador/a - escenario Medio</t>
  </si>
  <si>
    <t>$1.600.606/mes</t>
  </si>
  <si>
    <t>https://cl.computrabajo.com/salarios/desarrolladora</t>
  </si>
  <si>
    <t>F3</t>
  </si>
  <si>
    <t>Salario Software Engineer - escenario Alto</t>
  </si>
  <si>
    <t>$2.144.444/mes</t>
  </si>
  <si>
    <t>https://cl.computrabajo.com/salarios/software-engineer</t>
  </si>
  <si>
    <t>F4</t>
  </si>
  <si>
    <t>Notebook Lenovo IdeaPad Slim 3 Ryzen 7, 16GB/512GB</t>
  </si>
  <si>
    <t>$699.990/unidad</t>
  </si>
  <si>
    <t>Falabella Chile</t>
  </si>
  <si>
    <t>https://www.falabella.com/falabella-cl/product/80724506/notebook-ideapad-slim-3-amd-ryzen-7-7735hs-16gb-ram-512gb-ssd-14-oled-lenovo/80724506</t>
  </si>
  <si>
    <t>F5</t>
  </si>
  <si>
    <t>Notebook Lenovo ThinkPad E16 Gen 3 Ryzen 7, 16GB/512GB</t>
  </si>
  <si>
    <t>$1.199.990/unidad</t>
  </si>
  <si>
    <t>https://www.falabella.com/falabella-cl/product/148884013/Notebook-ThinkPad-E16-Gen-3-AMD-Ryzen-7-16GB-RAM-512GB-SSD-16</t>
  </si>
  <si>
    <t>F6</t>
  </si>
  <si>
    <t>Dominio .cl por 1 año</t>
  </si>
  <si>
    <t>$9.990</t>
  </si>
  <si>
    <t>NIC Chile</t>
  </si>
  <si>
    <t>https://www.nic.cl/dominios/tarifas.html</t>
  </si>
  <si>
    <t>F7</t>
  </si>
  <si>
    <t>Supabase Pro</t>
  </si>
  <si>
    <t>US$25/mes</t>
  </si>
  <si>
    <t>Supabase</t>
  </si>
  <si>
    <t>https://supabase.com/pricing</t>
  </si>
  <si>
    <t>F8</t>
  </si>
  <si>
    <t>Render Pro workspace</t>
  </si>
  <si>
    <t>US$25/mes + compute</t>
  </si>
  <si>
    <t>Render</t>
  </si>
  <si>
    <t>https://render.com/pricing</t>
  </si>
  <si>
    <t>F9</t>
  </si>
  <si>
    <t>Figma Professional Full seat</t>
  </si>
  <si>
    <t>US$16/mes por usuario</t>
  </si>
  <si>
    <t>Figma</t>
  </si>
  <si>
    <t>https://www.figma.com/pricing/</t>
  </si>
  <si>
    <t>F10</t>
  </si>
  <si>
    <t>Tipo de cambio USD/CLP usado</t>
  </si>
  <si>
    <t>$961,53 por US$1</t>
  </si>
  <si>
    <t>Wise</t>
  </si>
  <si>
    <t>https://wise.com/us/currency-converter/usd-to-clp-rate/history/27-09-2026</t>
  </si>
  <si>
    <t>Firebase FCM</t>
  </si>
  <si>
    <t>F11</t>
  </si>
  <si>
    <t>Diego Mellado - backend / portal web</t>
  </si>
  <si>
    <t>Firebase Cloud Messaging (FCM)</t>
  </si>
  <si>
    <t>$0 para mensajería FCM</t>
  </si>
  <si>
    <t>Firebase</t>
  </si>
  <si>
    <t>https://firebase.google.com/pricing</t>
  </si>
  <si>
    <t>CRITERIOS DE LOS TRES ESCENARIOS</t>
  </si>
  <si>
    <t>Escenario Bajo</t>
  </si>
  <si>
    <t>Reutiliza equipos existentes, usa planes gratuitos y valoriza la mano de obra con referencia salarial de Programador en Chile. Contingencia: 5%.</t>
  </si>
  <si>
    <t>Escenario Medio</t>
  </si>
  <si>
    <t>Compra 2 notebooks de desarrollo, incorpora Supabase Pro y dominio .cl; mano de obra valorizada con referencia salarial de Desarrollador/a. Contingencia: 10%.</t>
  </si>
  <si>
    <t>Escenario Alto</t>
  </si>
  <si>
    <t>Compra 2 notebooks empresariales e incorpora Supabase Pro, Render Pro, Figma Professional para dos usuarios y dominio .cl; mano de obra valorizada con referencia de Software Engineer. Contingencia: 15%.</t>
  </si>
  <si>
    <t>Costo mano de obra</t>
  </si>
  <si>
    <t>Tipo de cambio</t>
  </si>
  <si>
    <t>Para convertir servicios expresados en USD se mantuvo el tipo de cambio de $961,53 CLP por US$1 utilizado en el modelo original.</t>
  </si>
  <si>
    <t>Financiamiento</t>
  </si>
  <si>
    <t>Se modela un aporte inicial equivalente al costo total estimado para que el flujo de 15 semanas cierre en saldo cero. SENAMA se utiliza como supuesto académico de cliente/financiador, no como compromiso contractual.</t>
  </si>
  <si>
    <t>Equipamiento de desarrollo</t>
  </si>
  <si>
    <t>Tecnología e infraestructura</t>
  </si>
  <si>
    <t>Base de datos / Supabase</t>
  </si>
  <si>
    <t>Costo Proyecto</t>
  </si>
  <si>
    <t>Backend / Render</t>
  </si>
  <si>
    <t>Financiamiento estimado</t>
  </si>
  <si>
    <t>Diseño UX/UI / Figma</t>
  </si>
  <si>
    <t>DASHBOARD ECONÓMICO</t>
  </si>
  <si>
    <t>Firebase Cloud Messaging</t>
  </si>
  <si>
    <t>Total ingresos</t>
  </si>
  <si>
    <t>Subtotal egresos directos</t>
  </si>
  <si>
    <t>Total egresos</t>
  </si>
  <si>
    <t>Reserva de contingencia</t>
  </si>
  <si>
    <t>Flujo final</t>
  </si>
  <si>
    <t>TOTAL EGRESOS</t>
  </si>
  <si>
    <t>Mamoru · Resumen de Financiamiento y Modelo de Ingresos</t>
  </si>
  <si>
    <t>Escenario</t>
  </si>
  <si>
    <t>Hito 1</t>
  </si>
  <si>
    <t>% Hito 1</t>
  </si>
  <si>
    <t>Hito 2</t>
  </si>
  <si>
    <t>% Hito 2</t>
  </si>
  <si>
    <t>Modelo post-lanzamiento</t>
  </si>
  <si>
    <t>Ingreso Año 1</t>
  </si>
  <si>
    <t>Plan Familiar</t>
  </si>
  <si>
    <t>Modelo Cuidador</t>
  </si>
  <si>
    <t>Mantenimiento</t>
  </si>
  <si>
    <t>Tecnología / infraestructura</t>
  </si>
  <si>
    <t>Sin monetización; proyecto académico con herramientas gratuitas</t>
  </si>
  <si>
    <t>FLUJO NETO</t>
  </si>
  <si>
    <t>No aplica</t>
  </si>
  <si>
    <t>Venta de licencia institucional de uso</t>
  </si>
  <si>
    <t>Licencia anual + Plan Plus + alta cuidadores + comisión + mantenimiento</t>
  </si>
  <si>
    <t>Gratis + Plus; Plus incluye videollamadas familiar-cuidador</t>
  </si>
  <si>
    <t>Pago de habilitación + comisión por servicio</t>
  </si>
  <si>
    <t>Cobro mensual de mantenimiento y soporte</t>
  </si>
  <si>
    <t>Contingencia total</t>
  </si>
  <si>
    <t>SALDO ACUMULADO</t>
  </si>
  <si>
    <t>Supuestos comerciales · Escenario Alto</t>
  </si>
  <si>
    <t>Variable</t>
  </si>
  <si>
    <t>Valor</t>
  </si>
  <si>
    <t>Unidad</t>
  </si>
  <si>
    <t>Licencia institucional anual</t>
  </si>
  <si>
    <t>CLP/año</t>
  </si>
  <si>
    <t>Plan Plus Familiar</t>
  </si>
  <si>
    <t>CLP/mes</t>
  </si>
  <si>
    <t>Familias Plan Plus</t>
  </si>
  <si>
    <t>familias</t>
  </si>
  <si>
    <t>Alta cuenta Cuidador</t>
  </si>
  <si>
    <t>CLP/alta</t>
  </si>
  <si>
    <t>Nuevos cuidadores</t>
  </si>
  <si>
    <t>por mes</t>
  </si>
  <si>
    <t>Comisión Mamoru</t>
  </si>
  <si>
    <t>% por servicio</t>
  </si>
  <si>
    <t>Sueldos Equipo Desarrollo</t>
  </si>
  <si>
    <t>Valor promedio servicio</t>
  </si>
  <si>
    <t>CLP/servicio</t>
  </si>
  <si>
    <t>Servicios completados</t>
  </si>
  <si>
    <t>Plan Gratis Familiar</t>
  </si>
  <si>
    <t>Equipo</t>
  </si>
  <si>
    <t>Cargo</t>
  </si>
  <si>
    <t>Sueldo Mensual</t>
  </si>
  <si>
    <t>Valor Hora</t>
  </si>
  <si>
    <t>Otros</t>
  </si>
  <si>
    <t>Antonella Valdés</t>
  </si>
  <si>
    <t>Desarrollo móvil / BD</t>
  </si>
  <si>
    <t>Diego Mellado</t>
  </si>
  <si>
    <t>Backend / Portal web</t>
  </si>
  <si>
    <t>INVERSIÓN / SERVICIOS</t>
  </si>
  <si>
    <t>Total Otros</t>
  </si>
  <si>
    <t>Egreso Gasto</t>
  </si>
  <si>
    <t>Sueldos, servicios cloud, dominio y contingencia</t>
  </si>
  <si>
    <t>Egreso Costo</t>
  </si>
  <si>
    <t>Implementos tecnológicos y equipamiento</t>
  </si>
  <si>
    <t>CALENDARIO DE FINANCIAMIENTO · 2 HITOS</t>
  </si>
  <si>
    <t>Cuota</t>
  </si>
  <si>
    <t>% del presupuesto</t>
  </si>
  <si>
    <t>Hito / momento</t>
  </si>
  <si>
    <t>Inicio del proyecto y habilitación del desarrollo</t>
  </si>
  <si>
    <t>MODELO DE INGRESOS POST-LANZAMIENTO · 12 MESES</t>
  </si>
  <si>
    <t>Integración, avance funcional y entrada a pruebas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</si>
  <si>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</si>
  <si>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</si>
  <si>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</si>
  <si>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</si>
  <si>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</si>
  <si>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</si>
  <si>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</si>
  <si>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</si>
  <si>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</si>
  <si>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</si>
  <si>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</si>
  <si>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</si>
  <si>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Ingresos comerciales post-lanzamiento</t>
  </si>
  <si>
    <t>TOTAL INGRESOS POST-LANZAMIENTO</t>
  </si>
  <si>
    <t>Venta de licencia institucional de uso Mamoru</t>
  </si>
  <si>
    <t>INGRESO ACUMULADO</t>
  </si>
  <si>
    <t>SUPUESTOS POST-LANZAMIENTO</t>
  </si>
  <si>
    <t>Supuesto</t>
  </si>
  <si>
    <t>Observación</t>
  </si>
  <si>
    <t>Mamoru se mantiene como proyecto académico y utiliza herramientas gratuitas. No se proyecta una estrategia de monetización posterior al lanzamiento, por lo que los ingresos comerciales del Año 1 son $0.</t>
  </si>
  <si>
    <t>Clientes institucionales</t>
  </si>
  <si>
    <t>1 organización con licencia institucional</t>
  </si>
  <si>
    <t>la monetización se realiza mediante la venta de una licencia institucional de uso de Mamoru. En esta proyección se considera una licencia durante el primer año y no se incluyen suscripciones familiares, cobros a cuidadores, comisiones por servicios ni mantenimiento como fuente de ingreso.</t>
  </si>
  <si>
    <t>Modelo de negocio</t>
  </si>
  <si>
    <t>Sin monetización</t>
  </si>
  <si>
    <t>Proyecto académico de bajo costo</t>
  </si>
  <si>
    <t>Derecho de uso por 12 meses; renovación anual</t>
  </si>
  <si>
    <t>Herramientas</t>
  </si>
  <si>
    <t>Habilitación de cuenta Cuidador + visibilidad Marketplace</t>
  </si>
  <si>
    <t>Licencias vendidas Año 1</t>
  </si>
  <si>
    <t>Planes gratuitos</t>
  </si>
  <si>
    <t>Se considera 1 cliente institucional</t>
  </si>
  <si>
    <t>No se proyectan cobros por licencia, suscripción ni comisión</t>
  </si>
  <si>
    <t>Valor licencia</t>
  </si>
  <si>
    <t>Venta de licencia de uso; no transfiere el código fuente</t>
  </si>
  <si>
    <t>No se generan ingresos comerciales en este escenario</t>
  </si>
  <si>
    <t>Suscripciones / comisiones</t>
  </si>
  <si>
    <t>No se incluyen en el escenario medio</t>
  </si>
  <si>
    <t>Ingreso total Año 1</t>
  </si>
  <si>
    <t>1 licencia × valor de licencia</t>
  </si>
  <si>
    <t>Precio Plan Plus Familiar / mes</t>
  </si>
  <si>
    <t>Plan Gratis = $0; Plus incluye funciones premium como videollamadas familiar-cuidador</t>
  </si>
  <si>
    <t>Comisión por servicios realizados por cuidadores</t>
  </si>
  <si>
    <t>Familias con Plan Plus</t>
  </si>
  <si>
    <t>Cantidad promedio mensual usada en la proyección</t>
  </si>
  <si>
    <t>Mantenimiento y soporte de la plataforma</t>
  </si>
  <si>
    <t>Tarifa alta Cuidador</t>
  </si>
  <si>
    <t>Pago para crear/habilitar cuenta y mostrar perfil en marketplace</t>
  </si>
  <si>
    <t>Nuevos cuidadores / mes</t>
  </si>
  <si>
    <t>Altas pagadas promedio por mes</t>
  </si>
  <si>
    <t>Valor promedio servicio cuidador</t>
  </si>
  <si>
    <t>Supuesto académico por servicio completado</t>
  </si>
  <si>
    <t>Servicios completados / mes</t>
  </si>
  <si>
    <t>Servicios sobre los que se aplica comisión</t>
  </si>
  <si>
    <t>Se utiliza un modelo mixto. Mamoru obtiene ingresos por licencia institucional anual; suscripción Plus para familiares (manteniendo un plan Gratis y agregando funciones premium como videollamadas con el cuidador); pago de habilitación del cuidador para crear su cuenta y mostrar su perfil en el marketplace; comisión por los servicios efectivamente realizados; y cobro mensual de mantenimiento y soporte de la plataforma.</t>
  </si>
  <si>
    <t>Porcentaje aplicado al valor del servicio realizado</t>
  </si>
  <si>
    <t>Mantenimiento mensual</t>
  </si>
  <si>
    <t>Cobro mensual por mantenimiento y soporte de la plataforma</t>
  </si>
  <si>
    <t>Meses proyectados</t>
  </si>
  <si>
    <t>Primer año post-lanzamiento</t>
  </si>
  <si>
    <t>Suma de todas las fuentes de ingreso del escenario alto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</si>
</sst>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[$$]#,##0"/>
    <numFmt numFmtId="165" formatCode="$#,##0;[Red]($#,##0);-"/>
  </numFmts>
  <fonts count="16">
    <font>
      <sz val="11.0"/>
      <color rgb="FF000000"/>
      <name val="Carlito"/>
      <scheme val="minor"/>
    </font>
    <font>
      <sz val="11.0"/>
      <color theme="1"/>
      <name val="Carlito"/>
    </font>
    <font>
      <sz val="11.0"/>
      <color rgb="FF000000"/>
      <name val="Carlito"/>
    </font>
    <font>
      <b/>
      <sz val="14.0"/>
      <color rgb="FF000000"/>
      <name val="Carlito"/>
    </font>
    <font>
      <b/>
      <sz val="14.0"/>
      <color theme="1"/>
      <name val="Carlito"/>
    </font>
    <font>
      <color rgb="FF000000"/>
      <name val="Carlito"/>
      <scheme val="minor"/>
    </font>
    <font>
      <b/>
      <sz val="11.0"/>
      <color rgb="FF000000"/>
      <name val="Carlito"/>
    </font>
    <font/>
    <font>
      <b/>
      <sz val="11.0"/>
      <color theme="1"/>
      <name val="Arial"/>
    </font>
    <font>
      <sz val="11.0"/>
      <color theme="1"/>
      <name val="Arial"/>
    </font>
    <font>
      <b/>
      <sz val="11.0"/>
      <color rgb="FF000000"/>
      <name val="Arial"/>
    </font>
    <font>
      <sz val="11.0"/>
      <color rgb="FF000000"/>
      <name val="Arial"/>
    </font>
    <font>
      <color theme="1"/>
      <name val="Carlito"/>
      <scheme val="minor"/>
    </font>
    <font>
      <i/>
      <sz val="11.0"/>
      <color rgb="FF000000"/>
      <name val="Carlito"/>
    </font>
    <font>
      <b/>
      <sz val="12.0"/>
      <color rgb="FF000000"/>
      <name val="Carlito"/>
    </font>
    <font>
      <b/>
      <i/>
      <sz val="11.0"/>
      <color rgb="FF000000"/>
      <name val="Carlito"/>
    </font>
  </fonts>
  <fills count="14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CFE2F3"/>
        <bgColor rgb="FFCFE2F3"/>
      </patternFill>
    </fill>
    <fill>
      <patternFill patternType="solid">
        <fgColor rgb="FFF3D8C6"/>
        <bgColor rgb="FFF3D8C6"/>
      </patternFill>
    </fill>
    <fill>
      <patternFill patternType="solid">
        <fgColor rgb="FFF2F2F2"/>
        <bgColor rgb="FFF2F2F2"/>
      </patternFill>
    </fill>
    <fill>
      <patternFill patternType="solid">
        <fgColor rgb="FFD9EAD3"/>
        <bgColor rgb="FFD9EAD3"/>
      </patternFill>
    </fill>
    <fill>
      <patternFill patternType="solid">
        <fgColor rgb="FFFFF2CC"/>
        <bgColor rgb="FFFFF2CC"/>
      </patternFill>
    </fill>
    <fill>
      <patternFill patternType="solid">
        <fgColor rgb="FFF4CCCC"/>
        <bgColor rgb="FFF4CCCC"/>
      </patternFill>
    </fill>
    <fill>
      <patternFill patternType="solid">
        <fgColor rgb="FFC9DAF8"/>
        <bgColor rgb="FFC9DAF8"/>
      </patternFill>
    </fill>
    <fill>
      <patternFill patternType="solid">
        <fgColor rgb="FFA2C4C9"/>
        <bgColor rgb="FFA2C4C9"/>
      </patternFill>
    </fill>
    <fill>
      <patternFill patternType="solid">
        <fgColor rgb="FFD0E0E3"/>
        <bgColor rgb="FFD0E0E3"/>
      </patternFill>
    </fill>
    <fill>
      <patternFill patternType="solid">
        <fgColor rgb="FFFFF9E6"/>
        <bgColor rgb="FFFFF9E6"/>
      </patternFill>
    </fill>
    <fill>
      <patternFill patternType="solid">
        <fgColor rgb="FFEAD1DC"/>
        <bgColor rgb="FFEAD1DC"/>
      </patternFill>
    </fill>
  </fills>
  <borders count="22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B8C4D0"/>
      </left>
      <right style="thin">
        <color rgb="FFD8E1E8"/>
      </right>
      <bottom style="thin">
        <color rgb="FFD8E1E8"/>
      </bottom>
    </border>
    <border>
      <left style="thin">
        <color rgb="FFD8E1E8"/>
      </left>
      <right style="thin">
        <color rgb="FFD8E1E8"/>
      </right>
      <bottom style="thin">
        <color rgb="FFD8E1E8"/>
      </bottom>
    </border>
    <border>
      <left style="thin">
        <color rgb="FFD8E1E8"/>
      </left>
      <right style="thin">
        <color rgb="FFB8C4D0"/>
      </right>
      <bottom style="thin">
        <color rgb="FFD8E1E8"/>
      </bottom>
    </border>
    <border>
      <left style="thin">
        <color rgb="FFB8C4D0"/>
      </left>
      <right style="thin">
        <color rgb="FFD8E1E8"/>
      </right>
      <top style="thin">
        <color rgb="FFD8E1E8"/>
      </top>
      <bottom style="thin">
        <color rgb="FFB8C4D0"/>
      </bottom>
    </border>
    <border>
      <left style="thin">
        <color rgb="FFD8E1E8"/>
      </left>
      <right style="thin">
        <color rgb="FFD8E1E8"/>
      </right>
      <top style="thin">
        <color rgb="FFD8E1E8"/>
      </top>
      <bottom style="thin">
        <color rgb="FFB8C4D0"/>
      </bottom>
    </border>
    <border>
      <left style="thin">
        <color rgb="FFD8E1E8"/>
      </left>
      <right style="thin">
        <color rgb="FFB8C4D0"/>
      </right>
      <top style="thin">
        <color rgb="FFD8E1E8"/>
      </top>
      <bottom style="thin">
        <color rgb="FFB8C4D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10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wrapText="1"/>
    </xf>
    <xf borderId="0" fillId="0" fontId="2" numFmtId="0" xfId="0" applyAlignment="1" applyFont="1">
      <alignment shrinkToFit="0" wrapText="1"/>
    </xf>
    <xf borderId="0" fillId="2" fontId="2" numFmtId="0" xfId="0" applyAlignment="1" applyFill="1" applyFont="1">
      <alignment shrinkToFit="0" wrapText="1"/>
    </xf>
    <xf borderId="0" fillId="0" fontId="3" numFmtId="0" xfId="0" applyAlignment="1" applyFont="1">
      <alignment horizontal="center" shrinkToFit="0" wrapText="1"/>
    </xf>
    <xf borderId="0" fillId="0" fontId="4" numFmtId="0" xfId="0" applyAlignment="1" applyFont="1">
      <alignment horizontal="center" shrinkToFit="0" wrapText="1"/>
    </xf>
    <xf borderId="0" fillId="0" fontId="5" numFmtId="0" xfId="0" applyFont="1"/>
    <xf borderId="1" fillId="3" fontId="6" numFmtId="0" xfId="0" applyAlignment="1" applyBorder="1" applyFill="1" applyFont="1">
      <alignment horizontal="center" shrinkToFit="0" vertical="center" wrapText="1"/>
    </xf>
    <xf borderId="2" fillId="0" fontId="7" numFmtId="0" xfId="0" applyBorder="1" applyFont="1"/>
    <xf borderId="3" fillId="0" fontId="7" numFmtId="0" xfId="0" applyBorder="1" applyFont="1"/>
    <xf borderId="0" fillId="0" fontId="2" numFmtId="0" xfId="0" applyAlignment="1" applyFont="1">
      <alignment shrinkToFit="0" vertical="center" wrapText="1"/>
    </xf>
    <xf borderId="1" fillId="4" fontId="6" numFmtId="0" xfId="0" applyAlignment="1" applyBorder="1" applyFill="1" applyFont="1">
      <alignment horizontal="center" shrinkToFit="0" vertical="center" wrapText="1"/>
    </xf>
    <xf borderId="1" fillId="3" fontId="6" numFmtId="0" xfId="0" applyAlignment="1" applyBorder="1" applyFill="1" applyFont="1">
      <alignment horizontal="center" shrinkToFit="0" wrapText="1"/>
    </xf>
    <xf borderId="0" fillId="2" fontId="2" numFmtId="0" xfId="0" applyAlignment="1" applyFill="1" applyFont="1">
      <alignment shrinkToFit="0" vertical="center" wrapText="1"/>
    </xf>
    <xf borderId="1" fillId="4" fontId="6" numFmtId="0" xfId="0" applyAlignment="1" applyBorder="1" applyFill="1" applyFont="1">
      <alignment horizontal="center" shrinkToFit="0" wrapText="1"/>
    </xf>
    <xf borderId="4" fillId="0" fontId="2" numFmtId="0" xfId="0" applyAlignment="1" applyBorder="1" applyFont="1">
      <alignment shrinkToFit="0" vertical="center" wrapText="1"/>
    </xf>
    <xf borderId="4" fillId="0" fontId="2" numFmtId="1" xfId="0" applyAlignment="1" applyBorder="1" applyFont="1" applyNumberFormat="1">
      <alignment shrinkToFit="0" vertical="center" wrapText="1"/>
    </xf>
    <xf borderId="4" fillId="5" fontId="6" numFmtId="0" xfId="0" applyAlignment="1" applyBorder="1" applyFill="1" applyFont="1">
      <alignment horizontal="center" shrinkToFit="0" vertical="center" wrapText="1"/>
    </xf>
    <xf borderId="4" fillId="0" fontId="2" numFmtId="0" xfId="0" applyAlignment="1" applyBorder="1" applyFont="1">
      <alignment shrinkToFit="0" wrapText="1"/>
    </xf>
    <xf borderId="4" fillId="0" fontId="2" numFmtId="1" xfId="0" applyAlignment="1" applyBorder="1" applyFont="1" applyNumberFormat="1">
      <alignment shrinkToFit="0" wrapText="1"/>
    </xf>
    <xf borderId="4" fillId="5" fontId="6" numFmtId="164" xfId="0" applyAlignment="1" applyBorder="1" applyFill="1" applyFont="1" applyNumberFormat="1">
      <alignment horizontal="center" shrinkToFit="0" vertical="center" wrapText="1"/>
    </xf>
    <xf borderId="4" fillId="0" fontId="2" numFmtId="164" xfId="0" applyAlignment="1" applyBorder="1" applyFont="1" applyNumberFormat="1">
      <alignment readingOrder="0" shrinkToFit="0" vertical="center" wrapText="1"/>
    </xf>
    <xf borderId="4" fillId="0" fontId="2" numFmtId="164" xfId="0" applyAlignment="1" applyBorder="1" applyFont="1" applyNumberFormat="1">
      <alignment shrinkToFit="0" vertical="center" wrapText="1"/>
    </xf>
    <xf borderId="4" fillId="0" fontId="2" numFmtId="164" xfId="0" applyAlignment="1" applyBorder="1" applyFont="1" applyNumberFormat="1">
      <alignment shrinkToFit="0" wrapText="1"/>
    </xf>
    <xf borderId="4" fillId="6" fontId="6" numFmtId="164" xfId="0" applyAlignment="1" applyBorder="1" applyFill="1" applyFont="1" applyNumberFormat="1">
      <alignment shrinkToFit="0" vertical="center" wrapText="1"/>
    </xf>
    <xf borderId="0" fillId="0" fontId="2" numFmtId="165" xfId="0" applyAlignment="1" applyFont="1" applyNumberFormat="1">
      <alignment shrinkToFit="0" vertical="center" wrapText="1"/>
    </xf>
    <xf borderId="1" fillId="7" fontId="8" numFmtId="0" xfId="0" applyAlignment="1" applyBorder="1" applyFill="1" applyFont="1">
      <alignment horizontal="center" shrinkToFit="0" vertical="center" wrapText="1"/>
    </xf>
    <xf borderId="1" fillId="8" fontId="6" numFmtId="0" xfId="0" applyAlignment="1" applyBorder="1" applyFill="1" applyFont="1">
      <alignment horizontal="center" shrinkToFit="0" vertical="center" wrapText="1"/>
    </xf>
    <xf borderId="4" fillId="5" fontId="8" numFmtId="0" xfId="0" applyAlignment="1" applyBorder="1" applyFill="1" applyFont="1">
      <alignment shrinkToFit="0" vertical="center" wrapText="1"/>
    </xf>
    <xf borderId="1" fillId="5" fontId="6" numFmtId="0" xfId="0" applyAlignment="1" applyBorder="1" applyFill="1" applyFont="1">
      <alignment horizontal="center" shrinkToFit="0" vertical="center" wrapText="1"/>
    </xf>
    <xf borderId="4" fillId="0" fontId="9" numFmtId="0" xfId="0" applyAlignment="1" applyBorder="1" applyFont="1">
      <alignment shrinkToFit="0" vertical="center" wrapText="1"/>
    </xf>
    <xf borderId="0" fillId="0" fontId="9" numFmtId="0" xfId="0" applyAlignment="1" applyFont="1">
      <alignment shrinkToFit="0" vertical="center" wrapText="1"/>
    </xf>
    <xf borderId="1" fillId="0" fontId="9" numFmtId="0" xfId="0" applyAlignment="1" applyBorder="1" applyFont="1">
      <alignment shrinkToFit="0" vertical="center" wrapText="1"/>
    </xf>
    <xf borderId="4" fillId="7" fontId="6" numFmtId="0" xfId="0" applyAlignment="1" applyBorder="1" applyFill="1" applyFont="1">
      <alignment shrinkToFit="0" vertical="center" wrapText="1"/>
    </xf>
    <xf borderId="4" fillId="7" fontId="6" numFmtId="0" xfId="0" applyAlignment="1" applyBorder="1" applyFill="1" applyFont="1">
      <alignment shrinkToFit="0" wrapText="1"/>
    </xf>
    <xf borderId="4" fillId="7" fontId="6" numFmtId="164" xfId="0" applyAlignment="1" applyBorder="1" applyFill="1" applyFont="1" applyNumberFormat="1">
      <alignment shrinkToFit="0" vertical="center" wrapText="1"/>
    </xf>
    <xf borderId="4" fillId="7" fontId="6" numFmtId="164" xfId="0" applyAlignment="1" applyBorder="1" applyFill="1" applyFont="1" applyNumberFormat="1">
      <alignment shrinkToFit="0" wrapText="1"/>
    </xf>
    <xf borderId="0" fillId="0" fontId="2" numFmtId="165" xfId="0" applyAlignment="1" applyFont="1" applyNumberFormat="1">
      <alignment shrinkToFit="0" wrapText="1"/>
    </xf>
    <xf borderId="4" fillId="7" fontId="2" numFmtId="164" xfId="0" applyAlignment="1" applyBorder="1" applyFill="1" applyFont="1" applyNumberFormat="1">
      <alignment shrinkToFit="0" vertical="center" wrapText="1"/>
    </xf>
    <xf borderId="4" fillId="7" fontId="2" numFmtId="0" xfId="0" applyAlignment="1" applyBorder="1" applyFill="1" applyFont="1">
      <alignment shrinkToFit="0" vertical="center" wrapText="1"/>
    </xf>
    <xf borderId="0" fillId="9" fontId="10" numFmtId="0" xfId="0" applyAlignment="1" applyFill="1" applyFont="1">
      <alignment horizontal="center" vertical="center"/>
    </xf>
    <xf borderId="0" fillId="0" fontId="9" numFmtId="0" xfId="0" applyFont="1"/>
    <xf borderId="4" fillId="6" fontId="10" numFmtId="0" xfId="0" applyAlignment="1" applyBorder="1" applyFill="1" applyFont="1">
      <alignment horizontal="center" shrinkToFit="0" vertical="center" wrapText="1"/>
    </xf>
    <xf borderId="4" fillId="0" fontId="11" numFmtId="0" xfId="0" applyAlignment="1" applyBorder="1" applyFont="1">
      <alignment shrinkToFit="0" vertical="center" wrapText="1"/>
    </xf>
    <xf borderId="4" fillId="0" fontId="11" numFmtId="9" xfId="0" applyAlignment="1" applyBorder="1" applyFont="1" applyNumberFormat="1">
      <alignment shrinkToFit="0" vertical="center" wrapText="1"/>
    </xf>
    <xf borderId="4" fillId="0" fontId="11" numFmtId="165" xfId="0" applyAlignment="1" applyBorder="1" applyFont="1" applyNumberFormat="1">
      <alignment shrinkToFit="0" vertical="center" wrapText="1"/>
    </xf>
    <xf borderId="4" fillId="0" fontId="2" numFmtId="165" xfId="0" applyAlignment="1" applyBorder="1" applyFont="1" applyNumberFormat="1">
      <alignment shrinkToFit="0" vertical="center" wrapText="1"/>
    </xf>
    <xf borderId="4" fillId="6" fontId="6" numFmtId="0" xfId="0" applyAlignment="1" applyBorder="1" applyFill="1" applyFont="1">
      <alignment shrinkToFit="0" vertical="center" wrapText="1"/>
    </xf>
    <xf borderId="4" fillId="0" fontId="11" numFmtId="164" xfId="0" applyAlignment="1" applyBorder="1" applyFont="1" applyNumberFormat="1">
      <alignment shrinkToFit="0" vertical="center" wrapText="1"/>
    </xf>
    <xf borderId="0" fillId="0" fontId="12" numFmtId="0" xfId="0" applyAlignment="1" applyFont="1">
      <alignment vertical="center"/>
    </xf>
    <xf borderId="0" fillId="0" fontId="2" numFmtId="164" xfId="0" applyAlignment="1" applyFont="1" applyNumberFormat="1">
      <alignment shrinkToFit="0" vertical="center" wrapText="1"/>
    </xf>
    <xf borderId="1" fillId="10" fontId="10" numFmtId="0" xfId="0" applyAlignment="1" applyBorder="1" applyFill="1" applyFont="1">
      <alignment horizontal="center"/>
    </xf>
    <xf borderId="4" fillId="11" fontId="10" numFmtId="0" xfId="0" applyAlignment="1" applyBorder="1" applyFill="1" applyFont="1">
      <alignment horizontal="center"/>
    </xf>
    <xf borderId="4" fillId="0" fontId="11" numFmtId="0" xfId="0" applyAlignment="1" applyBorder="1" applyFont="1">
      <alignment vertical="center"/>
    </xf>
    <xf borderId="4" fillId="0" fontId="11" numFmtId="164" xfId="0" applyAlignment="1" applyBorder="1" applyFont="1" applyNumberFormat="1">
      <alignment vertical="center"/>
    </xf>
    <xf borderId="4" fillId="0" fontId="11" numFmtId="0" xfId="0" applyAlignment="1" applyBorder="1" applyFont="1">
      <alignment vertical="center"/>
    </xf>
    <xf borderId="4" fillId="0" fontId="11" numFmtId="9" xfId="0" applyAlignment="1" applyBorder="1" applyFont="1" applyNumberFormat="1">
      <alignment vertical="center"/>
    </xf>
    <xf borderId="0" fillId="0" fontId="13" numFmtId="0" xfId="0" applyAlignment="1" applyFont="1">
      <alignment shrinkToFit="0" vertical="center" wrapText="1"/>
    </xf>
    <xf borderId="4" fillId="12" fontId="6" numFmtId="0" xfId="0" applyAlignment="1" applyBorder="1" applyFill="1" applyFont="1">
      <alignment shrinkToFit="0" vertical="center" wrapText="1"/>
    </xf>
    <xf borderId="5" fillId="0" fontId="6" numFmtId="0" xfId="0" applyAlignment="1" applyBorder="1" applyFont="1">
      <alignment horizontal="center" shrinkToFit="0" vertical="center" wrapText="1"/>
    </xf>
    <xf borderId="4" fillId="12" fontId="6" numFmtId="0" xfId="0" applyAlignment="1" applyBorder="1" applyFill="1" applyFont="1">
      <alignment shrinkToFit="0" wrapText="1"/>
    </xf>
    <xf borderId="4" fillId="2" fontId="2" numFmtId="0" xfId="0" applyAlignment="1" applyBorder="1" applyFill="1" applyFont="1">
      <alignment shrinkToFit="0" vertical="center" wrapText="1"/>
    </xf>
    <xf borderId="6" fillId="0" fontId="7" numFmtId="0" xfId="0" applyBorder="1" applyFont="1"/>
    <xf borderId="4" fillId="2" fontId="2" numFmtId="0" xfId="0" applyAlignment="1" applyBorder="1" applyFill="1" applyFont="1">
      <alignment shrinkToFit="0" wrapText="1"/>
    </xf>
    <xf borderId="7" fillId="0" fontId="7" numFmtId="0" xfId="0" applyBorder="1" applyFont="1"/>
    <xf borderId="4" fillId="6" fontId="6" numFmtId="0" xfId="0" applyAlignment="1" applyBorder="1" applyFill="1" applyFont="1">
      <alignment shrinkToFit="0" wrapText="1"/>
    </xf>
    <xf borderId="4" fillId="6" fontId="6" numFmtId="164" xfId="0" applyAlignment="1" applyBorder="1" applyFill="1" applyFont="1" applyNumberFormat="1">
      <alignment shrinkToFit="0" wrapText="1"/>
    </xf>
    <xf borderId="1" fillId="10" fontId="6" numFmtId="0" xfId="0" applyAlignment="1" applyBorder="1" applyFill="1" applyFont="1">
      <alignment horizontal="center" shrinkToFit="0" vertical="center" wrapText="1"/>
    </xf>
    <xf borderId="0" fillId="2" fontId="2" numFmtId="0" xfId="0" applyAlignment="1" applyFill="1" applyFont="1">
      <alignment shrinkToFit="0" vertical="top" wrapText="1"/>
    </xf>
    <xf borderId="4" fillId="11" fontId="6" numFmtId="0" xfId="0" applyAlignment="1" applyBorder="1" applyFill="1" applyFont="1">
      <alignment horizontal="center" shrinkToFit="0" vertical="center" wrapText="1"/>
    </xf>
    <xf borderId="0" fillId="0" fontId="5" numFmtId="0" xfId="0" applyAlignment="1" applyFont="1">
      <alignment vertical="center"/>
    </xf>
    <xf borderId="4" fillId="0" fontId="2" numFmtId="9" xfId="0" applyAlignment="1" applyBorder="1" applyFont="1" applyNumberFormat="1">
      <alignment shrinkToFit="0" vertical="center" wrapText="1"/>
    </xf>
    <xf borderId="1" fillId="10" fontId="14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shrinkToFit="0" vertical="center" wrapText="1"/>
    </xf>
    <xf borderId="4" fillId="0" fontId="2" numFmtId="9" xfId="0" applyAlignment="1" applyBorder="1" applyFont="1" applyNumberFormat="1">
      <alignment shrinkToFit="0" wrapText="1"/>
    </xf>
    <xf borderId="9" fillId="0" fontId="2" numFmtId="9" xfId="0" applyAlignment="1" applyBorder="1" applyFont="1" applyNumberFormat="1">
      <alignment shrinkToFit="0" vertical="center" wrapText="1"/>
    </xf>
    <xf borderId="10" fillId="0" fontId="2" numFmtId="0" xfId="0" applyAlignment="1" applyBorder="1" applyFont="1">
      <alignment shrinkToFit="0" vertical="center" wrapText="1"/>
    </xf>
    <xf borderId="11" fillId="0" fontId="2" numFmtId="0" xfId="0" applyAlignment="1" applyBorder="1" applyFont="1">
      <alignment shrinkToFit="0" vertical="center" wrapText="1"/>
    </xf>
    <xf borderId="12" fillId="0" fontId="2" numFmtId="9" xfId="0" applyAlignment="1" applyBorder="1" applyFont="1" applyNumberFormat="1">
      <alignment shrinkToFit="0" vertical="center" wrapText="1"/>
    </xf>
    <xf borderId="13" fillId="0" fontId="2" numFmtId="0" xfId="0" applyAlignment="1" applyBorder="1" applyFont="1">
      <alignment shrinkToFit="0" vertical="center" wrapText="1"/>
    </xf>
    <xf borderId="4" fillId="0" fontId="6" numFmtId="0" xfId="0" applyAlignment="1" applyBorder="1" applyFont="1">
      <alignment shrinkToFit="0" vertical="center" wrapText="1"/>
    </xf>
    <xf borderId="8" fillId="0" fontId="2" numFmtId="0" xfId="0" applyAlignment="1" applyBorder="1" applyFont="1">
      <alignment shrinkToFit="0" wrapText="1"/>
    </xf>
    <xf borderId="9" fillId="0" fontId="2" numFmtId="9" xfId="0" applyAlignment="1" applyBorder="1" applyFont="1" applyNumberFormat="1">
      <alignment shrinkToFit="0" wrapText="1"/>
    </xf>
    <xf borderId="10" fillId="0" fontId="2" numFmtId="0" xfId="0" applyAlignment="1" applyBorder="1" applyFont="1">
      <alignment shrinkToFit="0" wrapText="1"/>
    </xf>
    <xf borderId="4" fillId="0" fontId="6" numFmtId="164" xfId="0" applyAlignment="1" applyBorder="1" applyFont="1" applyNumberFormat="1">
      <alignment shrinkToFit="0" vertical="center" wrapText="1"/>
    </xf>
    <xf borderId="11" fillId="0" fontId="2" numFmtId="0" xfId="0" applyAlignment="1" applyBorder="1" applyFont="1">
      <alignment shrinkToFit="0" wrapText="1"/>
    </xf>
    <xf borderId="12" fillId="0" fontId="2" numFmtId="9" xfId="0" applyAlignment="1" applyBorder="1" applyFont="1" applyNumberFormat="1">
      <alignment shrinkToFit="0" wrapText="1"/>
    </xf>
    <xf borderId="13" fillId="0" fontId="2" numFmtId="0" xfId="0" applyAlignment="1" applyBorder="1" applyFont="1">
      <alignment shrinkToFit="0" wrapText="1"/>
    </xf>
    <xf borderId="4" fillId="0" fontId="6" numFmtId="0" xfId="0" applyAlignment="1" applyBorder="1" applyFont="1">
      <alignment shrinkToFit="0" wrapText="1"/>
    </xf>
    <xf borderId="4" fillId="0" fontId="6" numFmtId="164" xfId="0" applyAlignment="1" applyBorder="1" applyFont="1" applyNumberFormat="1">
      <alignment shrinkToFit="0" wrapText="1"/>
    </xf>
    <xf borderId="1" fillId="10" fontId="6" numFmtId="0" xfId="0" applyAlignment="1" applyBorder="1" applyFill="1" applyFont="1">
      <alignment horizontal="center" vertical="center"/>
    </xf>
    <xf borderId="0" fillId="0" fontId="6" numFmtId="0" xfId="0" applyAlignment="1" applyFont="1">
      <alignment shrinkToFit="0" wrapText="1"/>
    </xf>
    <xf borderId="0" fillId="0" fontId="6" numFmtId="165" xfId="0" applyAlignment="1" applyFont="1" applyNumberFormat="1">
      <alignment shrinkToFit="0" wrapText="1"/>
    </xf>
    <xf borderId="14" fillId="13" fontId="6" numFmtId="0" xfId="0" applyAlignment="1" applyBorder="1" applyFill="1" applyFont="1">
      <alignment readingOrder="0" shrinkToFit="0" vertical="center" wrapText="1"/>
    </xf>
    <xf borderId="15" fillId="0" fontId="7" numFmtId="0" xfId="0" applyBorder="1" applyFont="1"/>
    <xf borderId="14" fillId="7" fontId="13" numFmtId="0" xfId="0" applyAlignment="1" applyBorder="1" applyFill="1" applyFont="1">
      <alignment readingOrder="0" shrinkToFit="0" vertical="center" wrapText="1"/>
    </xf>
    <xf borderId="16" fillId="0" fontId="7" numFmtId="0" xfId="0" applyBorder="1" applyFont="1"/>
    <xf borderId="17" fillId="0" fontId="7" numFmtId="0" xfId="0" applyBorder="1" applyFont="1"/>
    <xf borderId="18" fillId="0" fontId="7" numFmtId="0" xfId="0" applyBorder="1" applyFont="1"/>
    <xf borderId="19" fillId="0" fontId="7" numFmtId="0" xfId="0" applyBorder="1" applyFont="1"/>
    <xf borderId="0" fillId="0" fontId="6" numFmtId="0" xfId="0" applyAlignment="1" applyFont="1">
      <alignment shrinkToFit="0" vertical="center" wrapText="1"/>
    </xf>
    <xf borderId="0" fillId="0" fontId="6" numFmtId="165" xfId="0" applyAlignment="1" applyFont="1" applyNumberFormat="1">
      <alignment shrinkToFit="0" vertical="center" wrapText="1"/>
    </xf>
    <xf borderId="4" fillId="0" fontId="5" numFmtId="0" xfId="0" applyAlignment="1" applyBorder="1" applyFont="1">
      <alignment vertical="center"/>
    </xf>
    <xf borderId="4" fillId="0" fontId="2" numFmtId="164" xfId="0" applyAlignment="1" applyBorder="1" applyFont="1" applyNumberFormat="1">
      <alignment vertical="center"/>
    </xf>
    <xf borderId="4" fillId="7" fontId="15" numFmtId="0" xfId="0" applyAlignment="1" applyBorder="1" applyFill="1" applyFont="1">
      <alignment shrinkToFit="0" vertical="center" wrapText="1"/>
    </xf>
    <xf borderId="4" fillId="7" fontId="15" numFmtId="164" xfId="0" applyAlignment="1" applyBorder="1" applyFill="1" applyFont="1" applyNumberFormat="1">
      <alignment shrinkToFit="0" vertical="center" wrapText="1"/>
    </xf>
    <xf borderId="20" fillId="0" fontId="7" numFmtId="0" xfId="0" applyBorder="1" applyFont="1"/>
    <xf borderId="21" fillId="0" fontId="7" numFmtId="0" xfId="0" applyBorder="1" applyFont="1"/>
  </cellXfs>
  <cellStyles count="1">
    <cellStyle xfId="0" name="Normal" builtinId="0"/>
  </cellStyles>
  <dxfs count="1">
    <dxf>
      <font>
        <b/>
        <color rgb="FF990000"/>
      </font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0"/>
    <col customWidth="1" min="2" max="2" width="38.0"/>
    <col customWidth="1" min="3" max="3" width="24.13"/>
    <col customWidth="1" min="4" max="14" width="12.0"/>
    <col customWidth="1" min="15" max="17" width="11.0"/>
    <col customWidth="1" min="18" max="18" width="16.0"/>
    <col customWidth="1" min="19" max="19" width="3.0"/>
    <col customWidth="1" min="20" max="20" width="26.0"/>
    <col customWidth="1" min="21" max="21" width="31.0"/>
    <col customWidth="1" min="22" max="22" width="18.0"/>
    <col customWidth="1" min="23" max="23" width="50.0"/>
    <col customWidth="1" min="24" max="24" width="13.0"/>
    <col customWidth="1" min="25" max="26" width="8.63"/>
  </cols>
  <sheetData>
    <row r="1">
      <c r="S1" s="2"/>
      <c r="T1" s="2"/>
      <c r="U1" s="2"/>
      <c r="V1" s="2"/>
      <c r="W1" s="2"/>
      <c r="X1" s="3"/>
    </row>
    <row r="2">
      <c r="B2" s="4" t="s">
        <v>0</v>
      </c>
      <c r="S2" s="2"/>
      <c r="T2" s="2"/>
      <c r="U2" s="2"/>
      <c r="V2" s="2"/>
      <c r="W2" s="2"/>
      <c r="X2" s="3"/>
    </row>
    <row r="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3"/>
    </row>
    <row r="4">
      <c r="B4" s="7" t="s">
        <v>1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  <c r="S4" s="10"/>
      <c r="T4" s="11" t="s">
        <v>2</v>
      </c>
      <c r="U4" s="9"/>
      <c r="V4" s="10"/>
      <c r="W4" s="10"/>
      <c r="X4" s="13"/>
    </row>
    <row r="5">
      <c r="B5" s="7" t="s">
        <v>3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  <c r="S5" s="10"/>
      <c r="T5" s="15" t="s">
        <v>4</v>
      </c>
      <c r="U5" s="16">
        <v>15.0</v>
      </c>
      <c r="V5" s="10"/>
      <c r="W5" s="10"/>
      <c r="X5" s="13"/>
    </row>
    <row r="6">
      <c r="B6" s="17" t="s">
        <v>5</v>
      </c>
      <c r="C6" s="17" t="s">
        <v>6</v>
      </c>
      <c r="D6" s="17" t="s">
        <v>7</v>
      </c>
      <c r="E6" s="17" t="s">
        <v>8</v>
      </c>
      <c r="F6" s="17" t="s">
        <v>9</v>
      </c>
      <c r="G6" s="17" t="s">
        <v>10</v>
      </c>
      <c r="H6" s="17" t="s">
        <v>11</v>
      </c>
      <c r="I6" s="17" t="s">
        <v>12</v>
      </c>
      <c r="J6" s="17" t="s">
        <v>13</v>
      </c>
      <c r="K6" s="17" t="s">
        <v>14</v>
      </c>
      <c r="L6" s="17" t="s">
        <v>15</v>
      </c>
      <c r="M6" s="17" t="s">
        <v>16</v>
      </c>
      <c r="N6" s="17" t="s">
        <v>17</v>
      </c>
      <c r="O6" s="17" t="s">
        <v>18</v>
      </c>
      <c r="P6" s="17" t="s">
        <v>19</v>
      </c>
      <c r="Q6" s="17" t="s">
        <v>20</v>
      </c>
      <c r="R6" s="17" t="s">
        <v>21</v>
      </c>
      <c r="S6" s="10"/>
      <c r="T6" s="15" t="s">
        <v>22</v>
      </c>
      <c r="U6" s="16">
        <v>2.0</v>
      </c>
      <c r="V6" s="10"/>
      <c r="W6" s="10"/>
      <c r="X6" s="13"/>
    </row>
    <row r="7">
      <c r="B7" s="21" t="s">
        <v>23</v>
      </c>
      <c r="C7" s="22">
        <f>$U$19*$V$46</f>
        <v>4391929.662</v>
      </c>
      <c r="D7" s="22">
        <v>0.0</v>
      </c>
      <c r="E7" s="22">
        <v>0.0</v>
      </c>
      <c r="F7" s="22">
        <v>0.0</v>
      </c>
      <c r="G7" s="22">
        <v>0.0</v>
      </c>
      <c r="H7" s="22">
        <v>0.0</v>
      </c>
      <c r="I7" s="22">
        <v>0.0</v>
      </c>
      <c r="J7" s="22">
        <v>0.0</v>
      </c>
      <c r="K7" s="22">
        <f>$U$19*$V$47</f>
        <v>2927953.108</v>
      </c>
      <c r="L7" s="22">
        <v>0.0</v>
      </c>
      <c r="M7" s="22">
        <v>0.0</v>
      </c>
      <c r="N7" s="22">
        <v>0.0</v>
      </c>
      <c r="O7" s="22">
        <v>0.0</v>
      </c>
      <c r="P7" s="22">
        <v>0.0</v>
      </c>
      <c r="Q7" s="22">
        <v>0.0</v>
      </c>
      <c r="R7" s="22">
        <f t="shared" ref="R7:R12" si="1">SUM(C7:Q7)</f>
        <v>7319882.769</v>
      </c>
      <c r="S7" s="10"/>
      <c r="T7" s="15" t="s">
        <v>25</v>
      </c>
      <c r="U7" s="22">
        <v>1006968.0</v>
      </c>
      <c r="V7" s="10"/>
      <c r="W7" s="10"/>
      <c r="X7" s="13"/>
    </row>
    <row r="8">
      <c r="B8" s="22" t="s">
        <v>26</v>
      </c>
      <c r="C8" s="22">
        <v>0.0</v>
      </c>
      <c r="D8" s="22">
        <v>0.0</v>
      </c>
      <c r="E8" s="22">
        <v>0.0</v>
      </c>
      <c r="F8" s="22">
        <v>0.0</v>
      </c>
      <c r="G8" s="22">
        <v>0.0</v>
      </c>
      <c r="H8" s="22">
        <v>0.0</v>
      </c>
      <c r="I8" s="22">
        <v>0.0</v>
      </c>
      <c r="J8" s="22">
        <v>0.0</v>
      </c>
      <c r="K8" s="22">
        <v>0.0</v>
      </c>
      <c r="L8" s="22">
        <v>0.0</v>
      </c>
      <c r="M8" s="22">
        <v>0.0</v>
      </c>
      <c r="N8" s="22">
        <v>0.0</v>
      </c>
      <c r="O8" s="22">
        <v>0.0</v>
      </c>
      <c r="P8" s="22">
        <v>0.0</v>
      </c>
      <c r="Q8" s="22">
        <v>0.0</v>
      </c>
      <c r="R8" s="22">
        <f t="shared" si="1"/>
        <v>0</v>
      </c>
      <c r="S8" s="10"/>
      <c r="T8" s="15" t="s">
        <v>27</v>
      </c>
      <c r="U8" s="22">
        <f>U7*12/52</f>
        <v>232377.2308</v>
      </c>
      <c r="V8" s="10"/>
      <c r="W8" s="10"/>
      <c r="X8" s="13"/>
    </row>
    <row r="9">
      <c r="B9" s="22" t="s">
        <v>28</v>
      </c>
      <c r="C9" s="22">
        <v>0.0</v>
      </c>
      <c r="D9" s="22">
        <v>0.0</v>
      </c>
      <c r="E9" s="22">
        <v>0.0</v>
      </c>
      <c r="F9" s="22">
        <v>0.0</v>
      </c>
      <c r="G9" s="22">
        <v>0.0</v>
      </c>
      <c r="H9" s="22">
        <v>0.0</v>
      </c>
      <c r="I9" s="22">
        <v>0.0</v>
      </c>
      <c r="J9" s="22">
        <v>0.0</v>
      </c>
      <c r="K9" s="22">
        <v>0.0</v>
      </c>
      <c r="L9" s="22">
        <v>0.0</v>
      </c>
      <c r="M9" s="22">
        <v>0.0</v>
      </c>
      <c r="N9" s="22">
        <v>0.0</v>
      </c>
      <c r="O9" s="22">
        <v>0.0</v>
      </c>
      <c r="P9" s="22">
        <v>0.0</v>
      </c>
      <c r="Q9" s="22">
        <v>0.0</v>
      </c>
      <c r="R9" s="22">
        <f t="shared" si="1"/>
        <v>0</v>
      </c>
      <c r="S9" s="10"/>
      <c r="T9" s="15" t="s">
        <v>29</v>
      </c>
      <c r="U9" s="22">
        <v>0.05</v>
      </c>
      <c r="V9" s="10"/>
      <c r="W9" s="10"/>
      <c r="X9" s="13"/>
    </row>
    <row r="10">
      <c r="B10" s="22" t="s">
        <v>30</v>
      </c>
      <c r="C10" s="22">
        <v>0.0</v>
      </c>
      <c r="D10" s="22">
        <v>0.0</v>
      </c>
      <c r="E10" s="22">
        <v>0.0</v>
      </c>
      <c r="F10" s="22">
        <v>0.0</v>
      </c>
      <c r="G10" s="22">
        <v>0.0</v>
      </c>
      <c r="H10" s="22">
        <v>0.0</v>
      </c>
      <c r="I10" s="22">
        <v>0.0</v>
      </c>
      <c r="J10" s="22">
        <v>0.0</v>
      </c>
      <c r="K10" s="22">
        <v>0.0</v>
      </c>
      <c r="L10" s="22">
        <v>0.0</v>
      </c>
      <c r="M10" s="22">
        <v>0.0</v>
      </c>
      <c r="N10" s="22">
        <v>0.0</v>
      </c>
      <c r="O10" s="22">
        <v>0.0</v>
      </c>
      <c r="P10" s="22">
        <v>0.0</v>
      </c>
      <c r="Q10" s="22">
        <v>0.0</v>
      </c>
      <c r="R10" s="22">
        <f t="shared" si="1"/>
        <v>0</v>
      </c>
      <c r="S10" s="10"/>
      <c r="T10" s="15" t="s">
        <v>31</v>
      </c>
      <c r="U10" s="22">
        <v>0.0</v>
      </c>
      <c r="V10" s="10"/>
      <c r="W10" s="10"/>
      <c r="X10" s="13"/>
    </row>
    <row r="11">
      <c r="B11" s="22" t="s">
        <v>32</v>
      </c>
      <c r="C11" s="22">
        <v>0.0</v>
      </c>
      <c r="D11" s="22">
        <v>0.0</v>
      </c>
      <c r="E11" s="22">
        <v>0.0</v>
      </c>
      <c r="F11" s="22">
        <v>0.0</v>
      </c>
      <c r="G11" s="22">
        <v>0.0</v>
      </c>
      <c r="H11" s="22">
        <v>0.0</v>
      </c>
      <c r="I11" s="22">
        <v>0.0</v>
      </c>
      <c r="J11" s="22">
        <v>0.0</v>
      </c>
      <c r="K11" s="22">
        <v>0.0</v>
      </c>
      <c r="L11" s="22">
        <v>0.0</v>
      </c>
      <c r="M11" s="22">
        <v>0.0</v>
      </c>
      <c r="N11" s="22">
        <v>0.0</v>
      </c>
      <c r="O11" s="22">
        <v>0.0</v>
      </c>
      <c r="P11" s="22">
        <v>0.0</v>
      </c>
      <c r="Q11" s="22">
        <v>0.0</v>
      </c>
      <c r="R11" s="22">
        <f t="shared" si="1"/>
        <v>0</v>
      </c>
      <c r="S11" s="10"/>
      <c r="T11" s="15" t="s">
        <v>33</v>
      </c>
      <c r="U11" s="22">
        <v>0.0</v>
      </c>
      <c r="V11" s="10"/>
      <c r="W11" s="10"/>
      <c r="X11" s="13"/>
    </row>
    <row r="12">
      <c r="B12" s="24" t="s">
        <v>34</v>
      </c>
      <c r="C12" s="24">
        <f t="shared" ref="C12:Q12" si="2">SUM(C7:C11)</f>
        <v>4391929.662</v>
      </c>
      <c r="D12" s="24">
        <f t="shared" si="2"/>
        <v>0</v>
      </c>
      <c r="E12" s="24">
        <f t="shared" si="2"/>
        <v>0</v>
      </c>
      <c r="F12" s="24">
        <f t="shared" si="2"/>
        <v>0</v>
      </c>
      <c r="G12" s="24">
        <f t="shared" si="2"/>
        <v>0</v>
      </c>
      <c r="H12" s="24">
        <f t="shared" si="2"/>
        <v>0</v>
      </c>
      <c r="I12" s="24">
        <f t="shared" si="2"/>
        <v>0</v>
      </c>
      <c r="J12" s="24">
        <f t="shared" si="2"/>
        <v>0</v>
      </c>
      <c r="K12" s="24">
        <f t="shared" si="2"/>
        <v>2927953.108</v>
      </c>
      <c r="L12" s="24">
        <f t="shared" si="2"/>
        <v>0</v>
      </c>
      <c r="M12" s="24">
        <f t="shared" si="2"/>
        <v>0</v>
      </c>
      <c r="N12" s="24">
        <f t="shared" si="2"/>
        <v>0</v>
      </c>
      <c r="O12" s="24">
        <f t="shared" si="2"/>
        <v>0</v>
      </c>
      <c r="P12" s="24">
        <f t="shared" si="2"/>
        <v>0</v>
      </c>
      <c r="Q12" s="24">
        <f t="shared" si="2"/>
        <v>0</v>
      </c>
      <c r="R12" s="24">
        <f t="shared" si="1"/>
        <v>7319882.769</v>
      </c>
      <c r="S12" s="10"/>
      <c r="T12" s="15" t="s">
        <v>35</v>
      </c>
      <c r="U12" s="22">
        <v>0.0</v>
      </c>
      <c r="V12" s="10"/>
      <c r="W12" s="10"/>
      <c r="X12" s="13"/>
    </row>
    <row r="13">
      <c r="B13" s="10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10"/>
      <c r="T13" s="15" t="s">
        <v>37</v>
      </c>
      <c r="U13" s="22">
        <v>0.0</v>
      </c>
      <c r="V13" s="10"/>
      <c r="W13" s="10"/>
      <c r="X13" s="13"/>
    </row>
    <row r="14">
      <c r="B14" s="27" t="s">
        <v>38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9"/>
      <c r="S14" s="10"/>
      <c r="T14" s="15" t="s">
        <v>45</v>
      </c>
      <c r="U14" s="22">
        <v>0.0</v>
      </c>
      <c r="V14" s="10"/>
      <c r="W14" s="10"/>
      <c r="X14" s="13"/>
    </row>
    <row r="15">
      <c r="B15" s="15" t="s">
        <v>46</v>
      </c>
      <c r="C15" s="22">
        <f t="shared" ref="C15:Q15" si="3">$U$8</f>
        <v>232377.2308</v>
      </c>
      <c r="D15" s="22">
        <f t="shared" si="3"/>
        <v>232377.2308</v>
      </c>
      <c r="E15" s="22">
        <f t="shared" si="3"/>
        <v>232377.2308</v>
      </c>
      <c r="F15" s="22">
        <f t="shared" si="3"/>
        <v>232377.2308</v>
      </c>
      <c r="G15" s="22">
        <f t="shared" si="3"/>
        <v>232377.2308</v>
      </c>
      <c r="H15" s="22">
        <f t="shared" si="3"/>
        <v>232377.2308</v>
      </c>
      <c r="I15" s="22">
        <f t="shared" si="3"/>
        <v>232377.2308</v>
      </c>
      <c r="J15" s="22">
        <f t="shared" si="3"/>
        <v>232377.2308</v>
      </c>
      <c r="K15" s="22">
        <f t="shared" si="3"/>
        <v>232377.2308</v>
      </c>
      <c r="L15" s="22">
        <f t="shared" si="3"/>
        <v>232377.2308</v>
      </c>
      <c r="M15" s="22">
        <f t="shared" si="3"/>
        <v>232377.2308</v>
      </c>
      <c r="N15" s="22">
        <f t="shared" si="3"/>
        <v>232377.2308</v>
      </c>
      <c r="O15" s="22">
        <f t="shared" si="3"/>
        <v>232377.2308</v>
      </c>
      <c r="P15" s="22">
        <f t="shared" si="3"/>
        <v>232377.2308</v>
      </c>
      <c r="Q15" s="22">
        <f t="shared" si="3"/>
        <v>232377.2308</v>
      </c>
      <c r="R15" s="22">
        <f t="shared" ref="R15:R25" si="5">SUM(C15:Q15)</f>
        <v>3485658.462</v>
      </c>
      <c r="S15" s="10"/>
      <c r="T15" s="15" t="s">
        <v>95</v>
      </c>
      <c r="U15" s="22">
        <v>0.0</v>
      </c>
      <c r="V15" s="10"/>
      <c r="W15" s="10"/>
      <c r="X15" s="13"/>
    </row>
    <row r="16">
      <c r="B16" s="15" t="s">
        <v>97</v>
      </c>
      <c r="C16" s="22">
        <f t="shared" ref="C16:Q16" si="4">$U$8</f>
        <v>232377.2308</v>
      </c>
      <c r="D16" s="22">
        <f t="shared" si="4"/>
        <v>232377.2308</v>
      </c>
      <c r="E16" s="22">
        <f t="shared" si="4"/>
        <v>232377.2308</v>
      </c>
      <c r="F16" s="22">
        <f t="shared" si="4"/>
        <v>232377.2308</v>
      </c>
      <c r="G16" s="22">
        <f t="shared" si="4"/>
        <v>232377.2308</v>
      </c>
      <c r="H16" s="22">
        <f t="shared" si="4"/>
        <v>232377.2308</v>
      </c>
      <c r="I16" s="22">
        <f t="shared" si="4"/>
        <v>232377.2308</v>
      </c>
      <c r="J16" s="22">
        <f t="shared" si="4"/>
        <v>232377.2308</v>
      </c>
      <c r="K16" s="22">
        <f t="shared" si="4"/>
        <v>232377.2308</v>
      </c>
      <c r="L16" s="22">
        <f t="shared" si="4"/>
        <v>232377.2308</v>
      </c>
      <c r="M16" s="22">
        <f t="shared" si="4"/>
        <v>232377.2308</v>
      </c>
      <c r="N16" s="22">
        <f t="shared" si="4"/>
        <v>232377.2308</v>
      </c>
      <c r="O16" s="22">
        <f t="shared" si="4"/>
        <v>232377.2308</v>
      </c>
      <c r="P16" s="22">
        <f t="shared" si="4"/>
        <v>232377.2308</v>
      </c>
      <c r="Q16" s="22">
        <f t="shared" si="4"/>
        <v>232377.2308</v>
      </c>
      <c r="R16" s="22">
        <f t="shared" si="5"/>
        <v>3485658.462</v>
      </c>
      <c r="S16" s="10"/>
      <c r="T16" s="15" t="s">
        <v>109</v>
      </c>
      <c r="U16" s="22">
        <f>U8*15*U6</f>
        <v>6971316.923</v>
      </c>
      <c r="V16" s="10"/>
      <c r="W16" s="10"/>
      <c r="X16" s="13"/>
    </row>
    <row r="17">
      <c r="B17" s="15" t="s">
        <v>114</v>
      </c>
      <c r="C17" s="22">
        <f>$U$10</f>
        <v>0</v>
      </c>
      <c r="D17" s="22">
        <v>0.0</v>
      </c>
      <c r="E17" s="22">
        <v>0.0</v>
      </c>
      <c r="F17" s="22">
        <v>0.0</v>
      </c>
      <c r="G17" s="22">
        <v>0.0</v>
      </c>
      <c r="H17" s="22">
        <v>0.0</v>
      </c>
      <c r="I17" s="22">
        <v>0.0</v>
      </c>
      <c r="J17" s="22">
        <v>0.0</v>
      </c>
      <c r="K17" s="22">
        <v>0.0</v>
      </c>
      <c r="L17" s="22">
        <v>0.0</v>
      </c>
      <c r="M17" s="22">
        <v>0.0</v>
      </c>
      <c r="N17" s="22">
        <v>0.0</v>
      </c>
      <c r="O17" s="22">
        <v>0.0</v>
      </c>
      <c r="P17" s="22">
        <v>0.0</v>
      </c>
      <c r="Q17" s="22">
        <v>0.0</v>
      </c>
      <c r="R17" s="22">
        <f t="shared" si="5"/>
        <v>0</v>
      </c>
      <c r="S17" s="10"/>
      <c r="T17" s="15" t="s">
        <v>115</v>
      </c>
      <c r="U17" s="22">
        <f>SUM(U10:U15)</f>
        <v>0</v>
      </c>
      <c r="V17" s="10"/>
      <c r="W17" s="10"/>
      <c r="X17" s="13"/>
    </row>
    <row r="18">
      <c r="B18" s="15" t="s">
        <v>116</v>
      </c>
      <c r="C18" s="22">
        <f t="shared" ref="C18:Q18" si="6">$U$11/15</f>
        <v>0</v>
      </c>
      <c r="D18" s="22">
        <f t="shared" si="6"/>
        <v>0</v>
      </c>
      <c r="E18" s="22">
        <f t="shared" si="6"/>
        <v>0</v>
      </c>
      <c r="F18" s="22">
        <f t="shared" si="6"/>
        <v>0</v>
      </c>
      <c r="G18" s="22">
        <f t="shared" si="6"/>
        <v>0</v>
      </c>
      <c r="H18" s="22">
        <f t="shared" si="6"/>
        <v>0</v>
      </c>
      <c r="I18" s="22">
        <f t="shared" si="6"/>
        <v>0</v>
      </c>
      <c r="J18" s="22">
        <f t="shared" si="6"/>
        <v>0</v>
      </c>
      <c r="K18" s="22">
        <f t="shared" si="6"/>
        <v>0</v>
      </c>
      <c r="L18" s="22">
        <f t="shared" si="6"/>
        <v>0</v>
      </c>
      <c r="M18" s="22">
        <f t="shared" si="6"/>
        <v>0</v>
      </c>
      <c r="N18" s="22">
        <f t="shared" si="6"/>
        <v>0</v>
      </c>
      <c r="O18" s="22">
        <f t="shared" si="6"/>
        <v>0</v>
      </c>
      <c r="P18" s="22">
        <f t="shared" si="6"/>
        <v>0</v>
      </c>
      <c r="Q18" s="22">
        <f t="shared" si="6"/>
        <v>0</v>
      </c>
      <c r="R18" s="22">
        <f t="shared" si="5"/>
        <v>0</v>
      </c>
      <c r="S18" s="10"/>
      <c r="T18" s="33" t="s">
        <v>117</v>
      </c>
      <c r="U18" s="35">
        <f>(U16+U17)*(1+U9)</f>
        <v>7319882.769</v>
      </c>
      <c r="V18" s="10"/>
      <c r="W18" s="10"/>
      <c r="X18" s="13"/>
    </row>
    <row r="19">
      <c r="B19" s="15" t="s">
        <v>118</v>
      </c>
      <c r="C19" s="22">
        <f t="shared" ref="C19:Q19" si="7">$U$12/15</f>
        <v>0</v>
      </c>
      <c r="D19" s="22">
        <f t="shared" si="7"/>
        <v>0</v>
      </c>
      <c r="E19" s="22">
        <f t="shared" si="7"/>
        <v>0</v>
      </c>
      <c r="F19" s="22">
        <f t="shared" si="7"/>
        <v>0</v>
      </c>
      <c r="G19" s="22">
        <f t="shared" si="7"/>
        <v>0</v>
      </c>
      <c r="H19" s="22">
        <f t="shared" si="7"/>
        <v>0</v>
      </c>
      <c r="I19" s="22">
        <f t="shared" si="7"/>
        <v>0</v>
      </c>
      <c r="J19" s="22">
        <f t="shared" si="7"/>
        <v>0</v>
      </c>
      <c r="K19" s="22">
        <f t="shared" si="7"/>
        <v>0</v>
      </c>
      <c r="L19" s="22">
        <f t="shared" si="7"/>
        <v>0</v>
      </c>
      <c r="M19" s="22">
        <f t="shared" si="7"/>
        <v>0</v>
      </c>
      <c r="N19" s="22">
        <f t="shared" si="7"/>
        <v>0</v>
      </c>
      <c r="O19" s="22">
        <f t="shared" si="7"/>
        <v>0</v>
      </c>
      <c r="P19" s="22">
        <f t="shared" si="7"/>
        <v>0</v>
      </c>
      <c r="Q19" s="22">
        <f t="shared" si="7"/>
        <v>0</v>
      </c>
      <c r="R19" s="22">
        <f t="shared" si="5"/>
        <v>0</v>
      </c>
      <c r="S19" s="10"/>
      <c r="T19" s="33" t="s">
        <v>119</v>
      </c>
      <c r="U19" s="35">
        <f>U18</f>
        <v>7319882.769</v>
      </c>
      <c r="V19" s="10"/>
      <c r="W19" s="10"/>
      <c r="X19" s="13"/>
    </row>
    <row r="20">
      <c r="B20" s="15" t="s">
        <v>120</v>
      </c>
      <c r="C20" s="22">
        <f t="shared" ref="C20:Q20" si="8">$U$13/15</f>
        <v>0</v>
      </c>
      <c r="D20" s="22">
        <f t="shared" si="8"/>
        <v>0</v>
      </c>
      <c r="E20" s="22">
        <f t="shared" si="8"/>
        <v>0</v>
      </c>
      <c r="F20" s="22">
        <f t="shared" si="8"/>
        <v>0</v>
      </c>
      <c r="G20" s="22">
        <f t="shared" si="8"/>
        <v>0</v>
      </c>
      <c r="H20" s="22">
        <f t="shared" si="8"/>
        <v>0</v>
      </c>
      <c r="I20" s="22">
        <f t="shared" si="8"/>
        <v>0</v>
      </c>
      <c r="J20" s="22">
        <f t="shared" si="8"/>
        <v>0</v>
      </c>
      <c r="K20" s="22">
        <f t="shared" si="8"/>
        <v>0</v>
      </c>
      <c r="L20" s="22">
        <f t="shared" si="8"/>
        <v>0</v>
      </c>
      <c r="M20" s="22">
        <f t="shared" si="8"/>
        <v>0</v>
      </c>
      <c r="N20" s="22">
        <f t="shared" si="8"/>
        <v>0</v>
      </c>
      <c r="O20" s="22">
        <f t="shared" si="8"/>
        <v>0</v>
      </c>
      <c r="P20" s="22">
        <f t="shared" si="8"/>
        <v>0</v>
      </c>
      <c r="Q20" s="22">
        <f t="shared" si="8"/>
        <v>0</v>
      </c>
      <c r="R20" s="22">
        <f t="shared" si="5"/>
        <v>0</v>
      </c>
      <c r="S20" s="10"/>
      <c r="T20" s="10"/>
      <c r="U20" s="25"/>
      <c r="V20" s="10"/>
      <c r="W20" s="10"/>
      <c r="X20" s="13"/>
    </row>
    <row r="21" ht="15.75" customHeight="1">
      <c r="B21" s="15" t="s">
        <v>45</v>
      </c>
      <c r="C21" s="22">
        <f>$U$14</f>
        <v>0</v>
      </c>
      <c r="D21" s="22">
        <v>0.0</v>
      </c>
      <c r="E21" s="22">
        <v>0.0</v>
      </c>
      <c r="F21" s="22">
        <v>0.0</v>
      </c>
      <c r="G21" s="22">
        <v>0.0</v>
      </c>
      <c r="H21" s="22">
        <v>0.0</v>
      </c>
      <c r="I21" s="22">
        <v>0.0</v>
      </c>
      <c r="J21" s="22">
        <v>0.0</v>
      </c>
      <c r="K21" s="22">
        <v>0.0</v>
      </c>
      <c r="L21" s="22">
        <v>0.0</v>
      </c>
      <c r="M21" s="22">
        <v>0.0</v>
      </c>
      <c r="N21" s="22">
        <v>0.0</v>
      </c>
      <c r="O21" s="22">
        <v>0.0</v>
      </c>
      <c r="P21" s="22">
        <v>0.0</v>
      </c>
      <c r="Q21" s="22">
        <v>0.0</v>
      </c>
      <c r="R21" s="22">
        <f t="shared" si="5"/>
        <v>0</v>
      </c>
      <c r="S21" s="10"/>
      <c r="T21" s="11" t="s">
        <v>121</v>
      </c>
      <c r="U21" s="9"/>
      <c r="V21" s="10"/>
      <c r="W21" s="10"/>
      <c r="X21" s="13"/>
    </row>
    <row r="22" ht="15.75" customHeight="1">
      <c r="B22" s="15" t="s">
        <v>122</v>
      </c>
      <c r="C22" s="22">
        <f t="shared" ref="C22:Q22" si="9">$U$15/15</f>
        <v>0</v>
      </c>
      <c r="D22" s="22">
        <f t="shared" si="9"/>
        <v>0</v>
      </c>
      <c r="E22" s="22">
        <f t="shared" si="9"/>
        <v>0</v>
      </c>
      <c r="F22" s="22">
        <f t="shared" si="9"/>
        <v>0</v>
      </c>
      <c r="G22" s="22">
        <f t="shared" si="9"/>
        <v>0</v>
      </c>
      <c r="H22" s="22">
        <f t="shared" si="9"/>
        <v>0</v>
      </c>
      <c r="I22" s="22">
        <f t="shared" si="9"/>
        <v>0</v>
      </c>
      <c r="J22" s="22">
        <f t="shared" si="9"/>
        <v>0</v>
      </c>
      <c r="K22" s="22">
        <f t="shared" si="9"/>
        <v>0</v>
      </c>
      <c r="L22" s="22">
        <f t="shared" si="9"/>
        <v>0</v>
      </c>
      <c r="M22" s="22">
        <f t="shared" si="9"/>
        <v>0</v>
      </c>
      <c r="N22" s="22">
        <f t="shared" si="9"/>
        <v>0</v>
      </c>
      <c r="O22" s="22">
        <f t="shared" si="9"/>
        <v>0</v>
      </c>
      <c r="P22" s="22">
        <f t="shared" si="9"/>
        <v>0</v>
      </c>
      <c r="Q22" s="22">
        <f t="shared" si="9"/>
        <v>0</v>
      </c>
      <c r="R22" s="22">
        <f t="shared" si="5"/>
        <v>0</v>
      </c>
      <c r="S22" s="10"/>
      <c r="T22" s="15" t="s">
        <v>123</v>
      </c>
      <c r="U22" s="22">
        <f>R12</f>
        <v>7319882.769</v>
      </c>
      <c r="V22" s="10"/>
      <c r="W22" s="10"/>
      <c r="X22" s="13"/>
    </row>
    <row r="23" ht="15.75" customHeight="1">
      <c r="B23" s="39" t="s">
        <v>124</v>
      </c>
      <c r="C23" s="38">
        <f t="shared" ref="C23:Q23" si="10">SUM(C15:C22)</f>
        <v>464754.4615</v>
      </c>
      <c r="D23" s="38">
        <f t="shared" si="10"/>
        <v>464754.4615</v>
      </c>
      <c r="E23" s="38">
        <f t="shared" si="10"/>
        <v>464754.4615</v>
      </c>
      <c r="F23" s="38">
        <f t="shared" si="10"/>
        <v>464754.4615</v>
      </c>
      <c r="G23" s="38">
        <f t="shared" si="10"/>
        <v>464754.4615</v>
      </c>
      <c r="H23" s="38">
        <f t="shared" si="10"/>
        <v>464754.4615</v>
      </c>
      <c r="I23" s="38">
        <f t="shared" si="10"/>
        <v>464754.4615</v>
      </c>
      <c r="J23" s="38">
        <f t="shared" si="10"/>
        <v>464754.4615</v>
      </c>
      <c r="K23" s="38">
        <f t="shared" si="10"/>
        <v>464754.4615</v>
      </c>
      <c r="L23" s="38">
        <f t="shared" si="10"/>
        <v>464754.4615</v>
      </c>
      <c r="M23" s="38">
        <f t="shared" si="10"/>
        <v>464754.4615</v>
      </c>
      <c r="N23" s="38">
        <f t="shared" si="10"/>
        <v>464754.4615</v>
      </c>
      <c r="O23" s="38">
        <f t="shared" si="10"/>
        <v>464754.4615</v>
      </c>
      <c r="P23" s="38">
        <f t="shared" si="10"/>
        <v>464754.4615</v>
      </c>
      <c r="Q23" s="38">
        <f t="shared" si="10"/>
        <v>464754.4615</v>
      </c>
      <c r="R23" s="38">
        <f t="shared" si="5"/>
        <v>6971316.923</v>
      </c>
      <c r="S23" s="10"/>
      <c r="T23" s="15" t="s">
        <v>125</v>
      </c>
      <c r="U23" s="22">
        <f>R25</f>
        <v>7319882.769</v>
      </c>
      <c r="V23" s="10"/>
      <c r="W23" s="10"/>
      <c r="X23" s="13"/>
    </row>
    <row r="24" ht="15.75" customHeight="1">
      <c r="B24" s="39" t="s">
        <v>126</v>
      </c>
      <c r="C24" s="38">
        <f t="shared" ref="C24:Q24" si="11">C23*$U$9</f>
        <v>23237.72308</v>
      </c>
      <c r="D24" s="38">
        <f t="shared" si="11"/>
        <v>23237.72308</v>
      </c>
      <c r="E24" s="38">
        <f t="shared" si="11"/>
        <v>23237.72308</v>
      </c>
      <c r="F24" s="38">
        <f t="shared" si="11"/>
        <v>23237.72308</v>
      </c>
      <c r="G24" s="38">
        <f t="shared" si="11"/>
        <v>23237.72308</v>
      </c>
      <c r="H24" s="38">
        <f t="shared" si="11"/>
        <v>23237.72308</v>
      </c>
      <c r="I24" s="38">
        <f t="shared" si="11"/>
        <v>23237.72308</v>
      </c>
      <c r="J24" s="38">
        <f t="shared" si="11"/>
        <v>23237.72308</v>
      </c>
      <c r="K24" s="38">
        <f t="shared" si="11"/>
        <v>23237.72308</v>
      </c>
      <c r="L24" s="38">
        <f t="shared" si="11"/>
        <v>23237.72308</v>
      </c>
      <c r="M24" s="38">
        <f t="shared" si="11"/>
        <v>23237.72308</v>
      </c>
      <c r="N24" s="38">
        <f t="shared" si="11"/>
        <v>23237.72308</v>
      </c>
      <c r="O24" s="38">
        <f t="shared" si="11"/>
        <v>23237.72308</v>
      </c>
      <c r="P24" s="38">
        <f t="shared" si="11"/>
        <v>23237.72308</v>
      </c>
      <c r="Q24" s="38">
        <f t="shared" si="11"/>
        <v>23237.72308</v>
      </c>
      <c r="R24" s="38">
        <f t="shared" si="5"/>
        <v>348565.8462</v>
      </c>
      <c r="S24" s="10"/>
      <c r="T24" s="15" t="s">
        <v>127</v>
      </c>
      <c r="U24" s="22">
        <f>R27</f>
        <v>-0.000000002444721758</v>
      </c>
      <c r="V24" s="10"/>
      <c r="W24" s="10"/>
      <c r="X24" s="13"/>
    </row>
    <row r="25" ht="15.75" customHeight="1">
      <c r="B25" s="33" t="s">
        <v>128</v>
      </c>
      <c r="C25" s="35">
        <f t="shared" ref="C25:Q25" si="12">C23+C24</f>
        <v>487992.1846</v>
      </c>
      <c r="D25" s="35">
        <f t="shared" si="12"/>
        <v>487992.1846</v>
      </c>
      <c r="E25" s="35">
        <f t="shared" si="12"/>
        <v>487992.1846</v>
      </c>
      <c r="F25" s="35">
        <f t="shared" si="12"/>
        <v>487992.1846</v>
      </c>
      <c r="G25" s="35">
        <f t="shared" si="12"/>
        <v>487992.1846</v>
      </c>
      <c r="H25" s="35">
        <f t="shared" si="12"/>
        <v>487992.1846</v>
      </c>
      <c r="I25" s="35">
        <f t="shared" si="12"/>
        <v>487992.1846</v>
      </c>
      <c r="J25" s="35">
        <f t="shared" si="12"/>
        <v>487992.1846</v>
      </c>
      <c r="K25" s="35">
        <f t="shared" si="12"/>
        <v>487992.1846</v>
      </c>
      <c r="L25" s="35">
        <f t="shared" si="12"/>
        <v>487992.1846</v>
      </c>
      <c r="M25" s="35">
        <f t="shared" si="12"/>
        <v>487992.1846</v>
      </c>
      <c r="N25" s="35">
        <f t="shared" si="12"/>
        <v>487992.1846</v>
      </c>
      <c r="O25" s="35">
        <f t="shared" si="12"/>
        <v>487992.1846</v>
      </c>
      <c r="P25" s="35">
        <f t="shared" si="12"/>
        <v>487992.1846</v>
      </c>
      <c r="Q25" s="35">
        <f t="shared" si="12"/>
        <v>487992.1846</v>
      </c>
      <c r="R25" s="35">
        <f t="shared" si="5"/>
        <v>7319882.769</v>
      </c>
      <c r="S25" s="10"/>
      <c r="T25" s="15" t="s">
        <v>109</v>
      </c>
      <c r="U25" s="22">
        <f t="shared" ref="U25:U26" si="13">U16</f>
        <v>6971316.923</v>
      </c>
      <c r="V25" s="10"/>
      <c r="W25" s="10"/>
      <c r="X25" s="13"/>
    </row>
    <row r="26" ht="15.75" customHeight="1">
      <c r="B26" s="10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10"/>
      <c r="T26" s="15" t="s">
        <v>140</v>
      </c>
      <c r="U26" s="46">
        <f t="shared" si="13"/>
        <v>0</v>
      </c>
      <c r="V26" s="10"/>
      <c r="W26" s="10"/>
      <c r="X26" s="13"/>
    </row>
    <row r="27" ht="15.75" customHeight="1">
      <c r="B27" s="47" t="s">
        <v>142</v>
      </c>
      <c r="C27" s="24">
        <f t="shared" ref="C27:Q27" si="14">C12-C25</f>
        <v>3903937.477</v>
      </c>
      <c r="D27" s="24">
        <f t="shared" si="14"/>
        <v>-487992.1846</v>
      </c>
      <c r="E27" s="24">
        <f t="shared" si="14"/>
        <v>-487992.1846</v>
      </c>
      <c r="F27" s="24">
        <f t="shared" si="14"/>
        <v>-487992.1846</v>
      </c>
      <c r="G27" s="24">
        <f t="shared" si="14"/>
        <v>-487992.1846</v>
      </c>
      <c r="H27" s="24">
        <f t="shared" si="14"/>
        <v>-487992.1846</v>
      </c>
      <c r="I27" s="24">
        <f t="shared" si="14"/>
        <v>-487992.1846</v>
      </c>
      <c r="J27" s="24">
        <f t="shared" si="14"/>
        <v>-487992.1846</v>
      </c>
      <c r="K27" s="24">
        <f t="shared" si="14"/>
        <v>2439960.923</v>
      </c>
      <c r="L27" s="24">
        <f t="shared" si="14"/>
        <v>-487992.1846</v>
      </c>
      <c r="M27" s="24">
        <f t="shared" si="14"/>
        <v>-487992.1846</v>
      </c>
      <c r="N27" s="24">
        <f t="shared" si="14"/>
        <v>-487992.1846</v>
      </c>
      <c r="O27" s="24">
        <f t="shared" si="14"/>
        <v>-487992.1846</v>
      </c>
      <c r="P27" s="24">
        <f t="shared" si="14"/>
        <v>-487992.1846</v>
      </c>
      <c r="Q27" s="24">
        <f t="shared" si="14"/>
        <v>-487992.1846</v>
      </c>
      <c r="R27" s="24">
        <f>SUM(C27:Q27)</f>
        <v>-0.000000002444721758</v>
      </c>
      <c r="S27" s="10"/>
      <c r="T27" s="15" t="s">
        <v>149</v>
      </c>
      <c r="U27" s="22">
        <f>R24</f>
        <v>348565.8462</v>
      </c>
      <c r="V27" s="10"/>
      <c r="W27" s="10"/>
      <c r="X27" s="13"/>
    </row>
    <row r="28" ht="15.75" customHeight="1">
      <c r="B28" s="47" t="s">
        <v>150</v>
      </c>
      <c r="C28" s="24">
        <f>C27</f>
        <v>3903937.477</v>
      </c>
      <c r="D28" s="24">
        <f t="shared" ref="D28:Q28" si="15">C28+D27</f>
        <v>3415945.292</v>
      </c>
      <c r="E28" s="24">
        <f t="shared" si="15"/>
        <v>2927953.108</v>
      </c>
      <c r="F28" s="24">
        <f t="shared" si="15"/>
        <v>2439960.923</v>
      </c>
      <c r="G28" s="24">
        <f t="shared" si="15"/>
        <v>1951968.738</v>
      </c>
      <c r="H28" s="24">
        <f t="shared" si="15"/>
        <v>1463976.554</v>
      </c>
      <c r="I28" s="24">
        <f t="shared" si="15"/>
        <v>975984.3692</v>
      </c>
      <c r="J28" s="24">
        <f t="shared" si="15"/>
        <v>487992.1846</v>
      </c>
      <c r="K28" s="24">
        <f t="shared" si="15"/>
        <v>2927953.108</v>
      </c>
      <c r="L28" s="24">
        <f t="shared" si="15"/>
        <v>2439960.923</v>
      </c>
      <c r="M28" s="24">
        <f t="shared" si="15"/>
        <v>1951968.738</v>
      </c>
      <c r="N28" s="24">
        <f t="shared" si="15"/>
        <v>1463976.554</v>
      </c>
      <c r="O28" s="24">
        <f t="shared" si="15"/>
        <v>975984.3692</v>
      </c>
      <c r="P28" s="24">
        <f t="shared" si="15"/>
        <v>487992.1846</v>
      </c>
      <c r="Q28" s="24">
        <f t="shared" si="15"/>
        <v>-0.000000002444721758</v>
      </c>
      <c r="R28" s="24">
        <f>Q28</f>
        <v>-0.000000002444721758</v>
      </c>
      <c r="S28" s="10"/>
      <c r="T28" s="10"/>
      <c r="U28" s="10"/>
      <c r="V28" s="10"/>
      <c r="W28" s="10"/>
      <c r="X28" s="13"/>
    </row>
    <row r="29" ht="15.75" customHeight="1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1" t="s">
        <v>167</v>
      </c>
      <c r="U29" s="8"/>
      <c r="V29" s="8"/>
      <c r="W29" s="8"/>
      <c r="X29" s="9"/>
    </row>
    <row r="30" ht="18.75" customHeight="1"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10"/>
      <c r="S30" s="10"/>
      <c r="T30" s="58" t="s">
        <v>172</v>
      </c>
      <c r="U30" s="58" t="s">
        <v>173</v>
      </c>
      <c r="V30" s="58" t="s">
        <v>174</v>
      </c>
      <c r="W30" s="58" t="s">
        <v>175</v>
      </c>
      <c r="X30" s="58" t="s">
        <v>42</v>
      </c>
    </row>
    <row r="31" ht="18.75" customHeight="1">
      <c r="B31" s="59" t="s">
        <v>176</v>
      </c>
      <c r="C31" s="15" t="s">
        <v>31</v>
      </c>
      <c r="D31" s="22">
        <f>$U$10</f>
        <v>0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5" t="s">
        <v>177</v>
      </c>
      <c r="U31" s="15" t="s">
        <v>178</v>
      </c>
      <c r="V31" s="22">
        <v>1006968.0</v>
      </c>
      <c r="W31" s="22">
        <f t="shared" ref="W31:W32" si="16">V31/160</f>
        <v>6293.55</v>
      </c>
      <c r="X31" s="61" t="s">
        <v>47</v>
      </c>
    </row>
    <row r="32" ht="15.75" customHeight="1">
      <c r="B32" s="62"/>
      <c r="C32" s="15" t="s">
        <v>116</v>
      </c>
      <c r="D32" s="22">
        <f>$U$11</f>
        <v>0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5" t="s">
        <v>179</v>
      </c>
      <c r="U32" s="15" t="s">
        <v>180</v>
      </c>
      <c r="V32" s="22">
        <v>1006968.0</v>
      </c>
      <c r="W32" s="22">
        <f t="shared" si="16"/>
        <v>6293.55</v>
      </c>
      <c r="X32" s="61" t="s">
        <v>47</v>
      </c>
    </row>
    <row r="33" ht="15.75" customHeight="1">
      <c r="B33" s="62"/>
      <c r="C33" s="15" t="s">
        <v>118</v>
      </c>
      <c r="D33" s="22">
        <f>$U$12</f>
        <v>0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3"/>
    </row>
    <row r="34" ht="15.75" customHeight="1">
      <c r="B34" s="62"/>
      <c r="C34" s="15" t="s">
        <v>120</v>
      </c>
      <c r="D34" s="22">
        <f>$U$13</f>
        <v>0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1" t="s">
        <v>181</v>
      </c>
      <c r="U34" s="9"/>
      <c r="V34" s="10"/>
      <c r="W34" s="10"/>
      <c r="X34" s="13"/>
    </row>
    <row r="35" ht="15.75" customHeight="1">
      <c r="B35" s="62"/>
      <c r="C35" s="15" t="s">
        <v>45</v>
      </c>
      <c r="D35" s="22">
        <f>$U$14</f>
        <v>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5" t="s">
        <v>31</v>
      </c>
      <c r="U35" s="22">
        <v>0.0</v>
      </c>
      <c r="V35" s="10"/>
      <c r="W35" s="10"/>
      <c r="X35" s="13"/>
    </row>
    <row r="36" ht="15.75" customHeight="1">
      <c r="B36" s="62"/>
      <c r="C36" s="15" t="s">
        <v>95</v>
      </c>
      <c r="D36" s="22">
        <f>$U$15</f>
        <v>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5" t="s">
        <v>78</v>
      </c>
      <c r="U36" s="22">
        <v>0.0</v>
      </c>
      <c r="V36" s="10"/>
      <c r="W36" s="10"/>
      <c r="X36" s="13"/>
    </row>
    <row r="37" ht="15.75" customHeight="1">
      <c r="B37" s="62"/>
      <c r="C37" s="15" t="s">
        <v>126</v>
      </c>
      <c r="D37" s="22">
        <f>$R$24</f>
        <v>348565.8462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5" t="s">
        <v>83</v>
      </c>
      <c r="U37" s="22">
        <v>0.0</v>
      </c>
      <c r="V37" s="10"/>
      <c r="W37" s="10"/>
      <c r="X37" s="13"/>
    </row>
    <row r="38" ht="15.75" customHeight="1">
      <c r="B38" s="64"/>
      <c r="C38" s="47" t="s">
        <v>182</v>
      </c>
      <c r="D38" s="24">
        <f>SUM(D31:D37)</f>
        <v>348565.8462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5" t="s">
        <v>88</v>
      </c>
      <c r="U38" s="22">
        <v>0.0</v>
      </c>
      <c r="V38" s="10"/>
      <c r="W38" s="10"/>
      <c r="X38" s="13"/>
    </row>
    <row r="39" ht="15.75" customHeight="1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5" t="s">
        <v>45</v>
      </c>
      <c r="U39" s="22">
        <v>0.0</v>
      </c>
      <c r="V39" s="10"/>
      <c r="W39" s="10"/>
      <c r="X39" s="13"/>
    </row>
    <row r="40" ht="15.75" customHeight="1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5" t="s">
        <v>95</v>
      </c>
      <c r="U40" s="22">
        <v>0.0</v>
      </c>
      <c r="V40" s="10"/>
      <c r="W40" s="10"/>
      <c r="X40" s="13"/>
    </row>
    <row r="41" ht="15.75" customHeight="1">
      <c r="B41" s="10" t="s">
        <v>183</v>
      </c>
      <c r="C41" s="10" t="s">
        <v>184</v>
      </c>
      <c r="S41" s="10"/>
      <c r="T41" s="10"/>
      <c r="U41" s="10"/>
      <c r="V41" s="10"/>
      <c r="W41" s="10"/>
      <c r="X41" s="13"/>
    </row>
    <row r="42" ht="20.25" customHeight="1">
      <c r="B42" s="10" t="s">
        <v>185</v>
      </c>
      <c r="C42" s="10" t="s">
        <v>186</v>
      </c>
      <c r="S42" s="10"/>
      <c r="T42" s="10"/>
      <c r="U42" s="10"/>
      <c r="V42" s="10"/>
      <c r="W42" s="10"/>
      <c r="X42" s="13"/>
    </row>
    <row r="43" ht="15.75" customHeight="1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3"/>
    </row>
    <row r="44" ht="15.75" customHeight="1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67" t="s">
        <v>187</v>
      </c>
      <c r="V44" s="8"/>
      <c r="W44" s="9"/>
      <c r="X44" s="13"/>
    </row>
    <row r="45" ht="15.75" customHeight="1">
      <c r="O45" s="10"/>
      <c r="P45" s="10"/>
      <c r="Q45" s="10"/>
      <c r="R45" s="10"/>
      <c r="S45" s="10"/>
      <c r="T45" s="10"/>
      <c r="U45" s="69" t="s">
        <v>188</v>
      </c>
      <c r="V45" s="69" t="s">
        <v>189</v>
      </c>
      <c r="W45" s="69" t="s">
        <v>190</v>
      </c>
      <c r="X45" s="13"/>
    </row>
    <row r="46" ht="15.75" customHeight="1">
      <c r="O46" s="70"/>
      <c r="P46" s="70"/>
      <c r="Q46" s="70"/>
      <c r="R46" s="70"/>
      <c r="S46" s="70"/>
      <c r="T46" s="70"/>
      <c r="U46" s="15" t="s">
        <v>6</v>
      </c>
      <c r="V46" s="71">
        <v>0.6</v>
      </c>
      <c r="W46" s="15" t="s">
        <v>191</v>
      </c>
      <c r="X46" s="70"/>
    </row>
    <row r="47" ht="15.75" customHeight="1">
      <c r="B47" s="72" t="s">
        <v>192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9"/>
      <c r="O47" s="70"/>
      <c r="P47" s="70"/>
      <c r="Q47" s="70"/>
      <c r="R47" s="70"/>
      <c r="S47" s="70"/>
      <c r="T47" s="70"/>
      <c r="U47" s="15" t="s">
        <v>14</v>
      </c>
      <c r="V47" s="71">
        <v>0.4</v>
      </c>
      <c r="W47" s="15" t="s">
        <v>193</v>
      </c>
      <c r="X47" s="70"/>
    </row>
    <row r="48" ht="15.75" customHeight="1">
      <c r="B48" s="69" t="s">
        <v>5</v>
      </c>
      <c r="C48" s="69" t="s">
        <v>194</v>
      </c>
      <c r="D48" s="69" t="s">
        <v>195</v>
      </c>
      <c r="E48" s="69" t="s">
        <v>196</v>
      </c>
      <c r="F48" s="69" t="s">
        <v>197</v>
      </c>
      <c r="G48" s="69" t="s">
        <v>198</v>
      </c>
      <c r="H48" s="69" t="s">
        <v>199</v>
      </c>
      <c r="I48" s="69" t="s">
        <v>200</v>
      </c>
      <c r="J48" s="69" t="s">
        <v>201</v>
      </c>
      <c r="K48" s="69" t="s">
        <v>202</v>
      </c>
      <c r="L48" s="69" t="s">
        <v>203</v>
      </c>
      <c r="M48" s="69" t="s">
        <v>204</v>
      </c>
      <c r="N48" s="69" t="s">
        <v>205</v>
      </c>
      <c r="O48" s="70"/>
      <c r="P48" s="70"/>
      <c r="Q48" s="70"/>
      <c r="R48" s="70"/>
      <c r="S48" s="70"/>
      <c r="T48" s="70"/>
      <c r="U48" s="73"/>
      <c r="V48" s="75"/>
      <c r="W48" s="76"/>
      <c r="X48" s="70"/>
    </row>
    <row r="49" ht="15.75" customHeight="1">
      <c r="B49" s="15" t="s">
        <v>206</v>
      </c>
      <c r="C49" s="22">
        <v>0.0</v>
      </c>
      <c r="D49" s="22">
        <v>0.0</v>
      </c>
      <c r="E49" s="22">
        <v>0.0</v>
      </c>
      <c r="F49" s="22">
        <v>0.0</v>
      </c>
      <c r="G49" s="22">
        <v>0.0</v>
      </c>
      <c r="H49" s="22">
        <v>0.0</v>
      </c>
      <c r="I49" s="22">
        <v>0.0</v>
      </c>
      <c r="J49" s="22">
        <v>0.0</v>
      </c>
      <c r="K49" s="22">
        <v>0.0</v>
      </c>
      <c r="L49" s="22">
        <v>0.0</v>
      </c>
      <c r="M49" s="22">
        <v>0.0</v>
      </c>
      <c r="N49" s="22">
        <v>0.0</v>
      </c>
      <c r="O49" s="70"/>
      <c r="P49" s="70"/>
      <c r="Q49" s="70"/>
      <c r="R49" s="70"/>
      <c r="S49" s="70"/>
      <c r="T49" s="70"/>
      <c r="U49" s="77"/>
      <c r="V49" s="78"/>
      <c r="W49" s="79"/>
      <c r="X49" s="70"/>
    </row>
    <row r="50" ht="15.75" customHeight="1">
      <c r="B50" s="80" t="s">
        <v>207</v>
      </c>
      <c r="C50" s="84">
        <f t="shared" ref="C50:N50" si="17">SUM(C49)</f>
        <v>0</v>
      </c>
      <c r="D50" s="84">
        <f t="shared" si="17"/>
        <v>0</v>
      </c>
      <c r="E50" s="84">
        <f t="shared" si="17"/>
        <v>0</v>
      </c>
      <c r="F50" s="84">
        <f t="shared" si="17"/>
        <v>0</v>
      </c>
      <c r="G50" s="84">
        <f t="shared" si="17"/>
        <v>0</v>
      </c>
      <c r="H50" s="84">
        <f t="shared" si="17"/>
        <v>0</v>
      </c>
      <c r="I50" s="84">
        <f t="shared" si="17"/>
        <v>0</v>
      </c>
      <c r="J50" s="84">
        <f t="shared" si="17"/>
        <v>0</v>
      </c>
      <c r="K50" s="84">
        <f t="shared" si="17"/>
        <v>0</v>
      </c>
      <c r="L50" s="84">
        <f t="shared" si="17"/>
        <v>0</v>
      </c>
      <c r="M50" s="84">
        <f t="shared" si="17"/>
        <v>0</v>
      </c>
      <c r="N50" s="84">
        <f t="shared" si="17"/>
        <v>0</v>
      </c>
      <c r="O50" s="70"/>
      <c r="P50" s="70"/>
      <c r="Q50" s="70"/>
      <c r="R50" s="70"/>
      <c r="S50" s="70"/>
      <c r="T50" s="70"/>
      <c r="U50" s="70"/>
      <c r="V50" s="70"/>
      <c r="W50" s="70"/>
      <c r="X50" s="70"/>
    </row>
    <row r="51" ht="15.75" customHeight="1">
      <c r="B51" s="80" t="s">
        <v>209</v>
      </c>
      <c r="C51" s="84">
        <f>C50</f>
        <v>0</v>
      </c>
      <c r="D51" s="84">
        <f t="shared" ref="D51:N51" si="18">C51+D50</f>
        <v>0</v>
      </c>
      <c r="E51" s="84">
        <f t="shared" si="18"/>
        <v>0</v>
      </c>
      <c r="F51" s="84">
        <f t="shared" si="18"/>
        <v>0</v>
      </c>
      <c r="G51" s="84">
        <f t="shared" si="18"/>
        <v>0</v>
      </c>
      <c r="H51" s="84">
        <f t="shared" si="18"/>
        <v>0</v>
      </c>
      <c r="I51" s="84">
        <f t="shared" si="18"/>
        <v>0</v>
      </c>
      <c r="J51" s="84">
        <f t="shared" si="18"/>
        <v>0</v>
      </c>
      <c r="K51" s="84">
        <f t="shared" si="18"/>
        <v>0</v>
      </c>
      <c r="L51" s="84">
        <f t="shared" si="18"/>
        <v>0</v>
      </c>
      <c r="M51" s="84">
        <f t="shared" si="18"/>
        <v>0</v>
      </c>
      <c r="N51" s="84">
        <f t="shared" si="18"/>
        <v>0</v>
      </c>
      <c r="O51" s="70"/>
      <c r="P51" s="70"/>
      <c r="Q51" s="70"/>
      <c r="R51" s="70"/>
      <c r="S51" s="70"/>
      <c r="T51" s="70"/>
      <c r="U51" s="70"/>
      <c r="V51" s="70"/>
      <c r="W51" s="70"/>
      <c r="X51" s="70"/>
    </row>
    <row r="52" ht="25.5" customHeight="1"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90" t="s">
        <v>210</v>
      </c>
      <c r="V52" s="8"/>
      <c r="W52" s="9"/>
      <c r="X52" s="70"/>
    </row>
    <row r="53" ht="15.75" customHeight="1"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69" t="s">
        <v>211</v>
      </c>
      <c r="V53" s="69" t="s">
        <v>153</v>
      </c>
      <c r="W53" s="69" t="s">
        <v>212</v>
      </c>
      <c r="X53" s="70"/>
    </row>
    <row r="54" ht="15.75" customHeight="1">
      <c r="B54" s="93" t="s">
        <v>213</v>
      </c>
      <c r="C54" s="94"/>
      <c r="D54" s="94"/>
      <c r="E54" s="94"/>
      <c r="F54" s="94"/>
      <c r="G54" s="94"/>
      <c r="H54" s="94"/>
      <c r="I54" s="94"/>
      <c r="J54" s="94"/>
      <c r="K54" s="94"/>
      <c r="L54" s="96"/>
      <c r="M54" s="70"/>
      <c r="N54" s="70"/>
      <c r="O54" s="70"/>
      <c r="P54" s="70"/>
      <c r="Q54" s="70"/>
      <c r="R54" s="70"/>
      <c r="S54" s="70"/>
      <c r="T54" s="70"/>
      <c r="U54" s="15" t="s">
        <v>217</v>
      </c>
      <c r="V54" s="15" t="s">
        <v>218</v>
      </c>
      <c r="W54" s="15" t="s">
        <v>219</v>
      </c>
      <c r="X54" s="70"/>
    </row>
    <row r="55" ht="15.75" customHeight="1">
      <c r="B55" s="97"/>
      <c r="C55" s="98"/>
      <c r="D55" s="98"/>
      <c r="E55" s="98"/>
      <c r="F55" s="98"/>
      <c r="G55" s="98"/>
      <c r="H55" s="98"/>
      <c r="I55" s="98"/>
      <c r="J55" s="98"/>
      <c r="K55" s="98"/>
      <c r="L55" s="99"/>
      <c r="M55" s="70"/>
      <c r="N55" s="70"/>
      <c r="O55" s="70"/>
      <c r="P55" s="70"/>
      <c r="Q55" s="70"/>
      <c r="R55" s="70"/>
      <c r="S55" s="70"/>
      <c r="T55" s="70"/>
      <c r="U55" s="15" t="s">
        <v>221</v>
      </c>
      <c r="V55" s="46" t="s">
        <v>224</v>
      </c>
      <c r="W55" s="15" t="s">
        <v>226</v>
      </c>
      <c r="X55" s="70"/>
    </row>
    <row r="56" ht="15.75" customHeight="1">
      <c r="M56" s="70"/>
      <c r="N56" s="70"/>
      <c r="O56" s="70"/>
      <c r="P56" s="70"/>
      <c r="Q56" s="70"/>
      <c r="R56" s="70"/>
      <c r="S56" s="70"/>
      <c r="T56" s="70"/>
      <c r="U56" s="15" t="s">
        <v>136</v>
      </c>
      <c r="V56" s="46">
        <v>0.0</v>
      </c>
      <c r="W56" s="15" t="s">
        <v>229</v>
      </c>
      <c r="X56" s="70"/>
    </row>
    <row r="57" ht="15.75" customHeight="1">
      <c r="B57" s="100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70"/>
      <c r="P57" s="70"/>
      <c r="Q57" s="70"/>
      <c r="R57" s="70"/>
      <c r="S57" s="70"/>
      <c r="T57" s="70"/>
      <c r="U57" s="10"/>
      <c r="V57" s="10"/>
      <c r="W57" s="10"/>
      <c r="X57" s="70"/>
    </row>
    <row r="58" ht="31.5" customHeight="1">
      <c r="O58" s="70"/>
      <c r="P58" s="70"/>
      <c r="Q58" s="70"/>
      <c r="R58" s="70"/>
      <c r="S58" s="70"/>
      <c r="T58" s="70"/>
      <c r="U58" s="10"/>
      <c r="V58" s="25"/>
      <c r="W58" s="10"/>
      <c r="X58" s="70"/>
    </row>
    <row r="59" ht="16.5" customHeight="1"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70"/>
      <c r="Q59" s="70"/>
      <c r="R59" s="70"/>
      <c r="S59" s="70"/>
      <c r="T59" s="70"/>
      <c r="U59" s="10"/>
      <c r="V59" s="10"/>
      <c r="W59" s="10"/>
      <c r="X59" s="70"/>
    </row>
    <row r="60" ht="16.5" customHeight="1">
      <c r="P60" s="6"/>
      <c r="Q60" s="6"/>
      <c r="R60" s="6"/>
      <c r="S60" s="6"/>
      <c r="T60" s="6"/>
      <c r="U60" s="2"/>
      <c r="V60" s="2"/>
      <c r="W60" s="2"/>
      <c r="X60" s="6"/>
    </row>
    <row r="61" ht="16.5" customHeight="1">
      <c r="U61" s="1"/>
      <c r="V61" s="1"/>
      <c r="W61" s="1"/>
    </row>
    <row r="62" ht="15.75" customHeight="1">
      <c r="U62" s="1"/>
      <c r="V62" s="1"/>
      <c r="W62" s="1"/>
    </row>
    <row r="63" ht="15.75" customHeight="1">
      <c r="U63" s="1"/>
      <c r="V63" s="1"/>
      <c r="W63" s="1"/>
    </row>
    <row r="64" ht="15.75" customHeight="1">
      <c r="U64" s="1"/>
      <c r="V64" s="1"/>
      <c r="W64" s="1"/>
    </row>
    <row r="65" ht="15.75" customHeight="1">
      <c r="U65" s="1"/>
      <c r="V65" s="1"/>
      <c r="W65" s="1"/>
    </row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B2:R2"/>
    <mergeCell ref="B4:R4"/>
    <mergeCell ref="T4:U4"/>
    <mergeCell ref="B5:R5"/>
    <mergeCell ref="B14:R14"/>
    <mergeCell ref="T21:U21"/>
    <mergeCell ref="U52:W52"/>
    <mergeCell ref="B47:N47"/>
    <mergeCell ref="B54:L55"/>
    <mergeCell ref="T29:X29"/>
    <mergeCell ref="B31:B38"/>
    <mergeCell ref="T34:U34"/>
    <mergeCell ref="C41:R41"/>
    <mergeCell ref="C42:R42"/>
    <mergeCell ref="U44:W44"/>
  </mergeCells>
  <conditionalFormatting sqref="C28:Q28">
    <cfRule type="expression" dxfId="0" priority="1">
      <formula>C28&lt;0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0"/>
    <col customWidth="1" min="2" max="2" width="38.0"/>
    <col customWidth="1" min="3" max="3" width="20.75"/>
    <col customWidth="1" min="4" max="14" width="12.0"/>
    <col customWidth="1" min="15" max="17" width="11.0"/>
    <col customWidth="1" min="18" max="18" width="16.0"/>
    <col customWidth="1" min="19" max="19" width="3.0"/>
    <col customWidth="1" min="20" max="20" width="26.0"/>
    <col customWidth="1" min="21" max="21" width="31.0"/>
    <col customWidth="1" min="22" max="22" width="18.0"/>
    <col customWidth="1" min="23" max="23" width="50.0"/>
    <col customWidth="1" min="24" max="24" width="13.0"/>
    <col customWidth="1" min="25" max="26" width="8.63"/>
  </cols>
  <sheetData>
    <row r="1">
      <c r="S1" s="1"/>
      <c r="T1" s="1"/>
      <c r="U1" s="1"/>
      <c r="V1" s="1"/>
      <c r="W1" s="1"/>
      <c r="X1" s="3"/>
    </row>
    <row r="2">
      <c r="B2" s="5" t="s">
        <v>0</v>
      </c>
      <c r="S2" s="2"/>
      <c r="T2" s="2"/>
      <c r="U2" s="2"/>
      <c r="V2" s="2"/>
      <c r="W2" s="2"/>
      <c r="X2" s="3"/>
      <c r="Y2" s="6"/>
    </row>
    <row r="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3"/>
      <c r="Y3" s="6"/>
    </row>
    <row r="4">
      <c r="B4" s="12" t="s">
        <v>1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  <c r="S4" s="2"/>
      <c r="T4" s="14" t="s">
        <v>2</v>
      </c>
      <c r="U4" s="9"/>
      <c r="V4" s="2"/>
      <c r="W4" s="2"/>
      <c r="X4" s="3"/>
      <c r="Y4" s="6"/>
    </row>
    <row r="5">
      <c r="B5" s="12" t="s">
        <v>3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  <c r="S5" s="2"/>
      <c r="T5" s="18" t="s">
        <v>4</v>
      </c>
      <c r="U5" s="19">
        <v>15.0</v>
      </c>
      <c r="V5" s="2"/>
      <c r="W5" s="2"/>
      <c r="X5" s="3"/>
      <c r="Y5" s="6"/>
    </row>
    <row r="6">
      <c r="B6" s="20" t="s">
        <v>5</v>
      </c>
      <c r="C6" s="20" t="s">
        <v>6</v>
      </c>
      <c r="D6" s="20" t="s">
        <v>7</v>
      </c>
      <c r="E6" s="20" t="s">
        <v>8</v>
      </c>
      <c r="F6" s="20" t="s">
        <v>9</v>
      </c>
      <c r="G6" s="20" t="s">
        <v>10</v>
      </c>
      <c r="H6" s="20" t="s">
        <v>11</v>
      </c>
      <c r="I6" s="20" t="s">
        <v>12</v>
      </c>
      <c r="J6" s="20" t="s">
        <v>13</v>
      </c>
      <c r="K6" s="20" t="s">
        <v>14</v>
      </c>
      <c r="L6" s="20" t="s">
        <v>15</v>
      </c>
      <c r="M6" s="20" t="s">
        <v>16</v>
      </c>
      <c r="N6" s="20" t="s">
        <v>17</v>
      </c>
      <c r="O6" s="20" t="s">
        <v>18</v>
      </c>
      <c r="P6" s="20" t="s">
        <v>19</v>
      </c>
      <c r="Q6" s="20" t="s">
        <v>20</v>
      </c>
      <c r="R6" s="20" t="s">
        <v>21</v>
      </c>
      <c r="S6" s="2"/>
      <c r="T6" s="18" t="s">
        <v>22</v>
      </c>
      <c r="U6" s="19">
        <v>2.0</v>
      </c>
      <c r="V6" s="2"/>
      <c r="W6" s="2"/>
      <c r="X6" s="3"/>
      <c r="Y6" s="6"/>
    </row>
    <row r="7">
      <c r="B7" s="21" t="s">
        <v>24</v>
      </c>
      <c r="C7" s="22">
        <f>$U$19*$V$46</f>
        <v>8299036.54</v>
      </c>
      <c r="D7" s="22">
        <v>0.0</v>
      </c>
      <c r="E7" s="22">
        <v>0.0</v>
      </c>
      <c r="F7" s="22">
        <v>0.0</v>
      </c>
      <c r="G7" s="22">
        <v>0.0</v>
      </c>
      <c r="H7" s="22">
        <v>0.0</v>
      </c>
      <c r="I7" s="22">
        <v>0.0</v>
      </c>
      <c r="J7" s="22">
        <v>0.0</v>
      </c>
      <c r="K7" s="22">
        <f>$U$19*$V$47</f>
        <v>5532691.027</v>
      </c>
      <c r="L7" s="22">
        <v>0.0</v>
      </c>
      <c r="M7" s="22">
        <v>0.0</v>
      </c>
      <c r="N7" s="22">
        <v>0.0</v>
      </c>
      <c r="O7" s="22">
        <v>0.0</v>
      </c>
      <c r="P7" s="22">
        <v>0.0</v>
      </c>
      <c r="Q7" s="22">
        <v>0.0</v>
      </c>
      <c r="R7" s="22">
        <f t="shared" ref="R7:R12" si="1">SUM(C7:Q7)</f>
        <v>13831727.57</v>
      </c>
      <c r="S7" s="2"/>
      <c r="T7" s="18" t="s">
        <v>25</v>
      </c>
      <c r="U7" s="23">
        <v>1600606.0</v>
      </c>
      <c r="V7" s="2"/>
      <c r="W7" s="2"/>
      <c r="X7" s="3"/>
      <c r="Y7" s="6"/>
    </row>
    <row r="8">
      <c r="B8" s="22" t="s">
        <v>26</v>
      </c>
      <c r="C8" s="22">
        <v>0.0</v>
      </c>
      <c r="D8" s="22">
        <v>0.0</v>
      </c>
      <c r="E8" s="22">
        <v>0.0</v>
      </c>
      <c r="F8" s="22">
        <v>0.0</v>
      </c>
      <c r="G8" s="22">
        <v>0.0</v>
      </c>
      <c r="H8" s="22">
        <v>0.0</v>
      </c>
      <c r="I8" s="22">
        <v>0.0</v>
      </c>
      <c r="J8" s="22">
        <v>0.0</v>
      </c>
      <c r="K8" s="22">
        <v>0.0</v>
      </c>
      <c r="L8" s="22">
        <v>0.0</v>
      </c>
      <c r="M8" s="22">
        <v>0.0</v>
      </c>
      <c r="N8" s="22">
        <v>0.0</v>
      </c>
      <c r="O8" s="22">
        <v>0.0</v>
      </c>
      <c r="P8" s="22">
        <v>0.0</v>
      </c>
      <c r="Q8" s="22">
        <v>0.0</v>
      </c>
      <c r="R8" s="22">
        <f t="shared" si="1"/>
        <v>0</v>
      </c>
      <c r="S8" s="2"/>
      <c r="T8" s="18" t="s">
        <v>27</v>
      </c>
      <c r="U8" s="23">
        <f>U7*12/52</f>
        <v>369370.6154</v>
      </c>
      <c r="V8" s="2"/>
      <c r="W8" s="2"/>
      <c r="X8" s="3"/>
      <c r="Y8" s="6"/>
    </row>
    <row r="9">
      <c r="B9" s="22" t="s">
        <v>28</v>
      </c>
      <c r="C9" s="22">
        <v>0.0</v>
      </c>
      <c r="D9" s="22">
        <v>0.0</v>
      </c>
      <c r="E9" s="22">
        <v>0.0</v>
      </c>
      <c r="F9" s="22">
        <v>0.0</v>
      </c>
      <c r="G9" s="22">
        <v>0.0</v>
      </c>
      <c r="H9" s="22">
        <v>0.0</v>
      </c>
      <c r="I9" s="22">
        <v>0.0</v>
      </c>
      <c r="J9" s="22">
        <v>0.0</v>
      </c>
      <c r="K9" s="22">
        <v>0.0</v>
      </c>
      <c r="L9" s="22">
        <v>0.0</v>
      </c>
      <c r="M9" s="22">
        <v>0.0</v>
      </c>
      <c r="N9" s="22">
        <v>0.0</v>
      </c>
      <c r="O9" s="22">
        <v>0.0</v>
      </c>
      <c r="P9" s="22">
        <v>0.0</v>
      </c>
      <c r="Q9" s="22">
        <v>0.0</v>
      </c>
      <c r="R9" s="22">
        <f t="shared" si="1"/>
        <v>0</v>
      </c>
      <c r="S9" s="2"/>
      <c r="T9" s="18" t="s">
        <v>29</v>
      </c>
      <c r="U9" s="23">
        <v>0.1</v>
      </c>
      <c r="V9" s="2"/>
      <c r="W9" s="2"/>
      <c r="X9" s="3"/>
      <c r="Y9" s="6"/>
    </row>
    <row r="10">
      <c r="B10" s="22" t="s">
        <v>30</v>
      </c>
      <c r="C10" s="22">
        <v>0.0</v>
      </c>
      <c r="D10" s="22">
        <v>0.0</v>
      </c>
      <c r="E10" s="22">
        <v>0.0</v>
      </c>
      <c r="F10" s="22">
        <v>0.0</v>
      </c>
      <c r="G10" s="22">
        <v>0.0</v>
      </c>
      <c r="H10" s="22">
        <v>0.0</v>
      </c>
      <c r="I10" s="22">
        <v>0.0</v>
      </c>
      <c r="J10" s="22">
        <v>0.0</v>
      </c>
      <c r="K10" s="22">
        <v>0.0</v>
      </c>
      <c r="L10" s="22">
        <v>0.0</v>
      </c>
      <c r="M10" s="22">
        <v>0.0</v>
      </c>
      <c r="N10" s="22">
        <v>0.0</v>
      </c>
      <c r="O10" s="22">
        <v>0.0</v>
      </c>
      <c r="P10" s="22">
        <v>0.0</v>
      </c>
      <c r="Q10" s="22">
        <v>0.0</v>
      </c>
      <c r="R10" s="22">
        <f t="shared" si="1"/>
        <v>0</v>
      </c>
      <c r="S10" s="2"/>
      <c r="T10" s="18" t="s">
        <v>31</v>
      </c>
      <c r="U10" s="23">
        <v>1399980.0</v>
      </c>
      <c r="V10" s="2"/>
      <c r="W10" s="2"/>
      <c r="X10" s="3"/>
      <c r="Y10" s="6"/>
    </row>
    <row r="11">
      <c r="B11" s="22" t="s">
        <v>32</v>
      </c>
      <c r="C11" s="22">
        <v>0.0</v>
      </c>
      <c r="D11" s="22">
        <v>0.0</v>
      </c>
      <c r="E11" s="22">
        <v>0.0</v>
      </c>
      <c r="F11" s="22">
        <v>0.0</v>
      </c>
      <c r="G11" s="22">
        <v>0.0</v>
      </c>
      <c r="H11" s="22">
        <v>0.0</v>
      </c>
      <c r="I11" s="22">
        <v>0.0</v>
      </c>
      <c r="J11" s="22">
        <v>0.0</v>
      </c>
      <c r="K11" s="22">
        <v>0.0</v>
      </c>
      <c r="L11" s="22">
        <v>0.0</v>
      </c>
      <c r="M11" s="22">
        <v>0.0</v>
      </c>
      <c r="N11" s="22">
        <v>0.0</v>
      </c>
      <c r="O11" s="22">
        <v>0.0</v>
      </c>
      <c r="P11" s="22">
        <v>0.0</v>
      </c>
      <c r="Q11" s="22">
        <v>0.0</v>
      </c>
      <c r="R11" s="22">
        <f t="shared" si="1"/>
        <v>0</v>
      </c>
      <c r="S11" s="2"/>
      <c r="T11" s="18" t="s">
        <v>33</v>
      </c>
      <c r="U11" s="23">
        <v>83209.32692307695</v>
      </c>
      <c r="V11" s="2"/>
      <c r="W11" s="2"/>
      <c r="X11" s="3"/>
      <c r="Y11" s="6"/>
    </row>
    <row r="12">
      <c r="B12" s="24" t="s">
        <v>34</v>
      </c>
      <c r="C12" s="24">
        <f t="shared" ref="C12:Q12" si="2">SUM(C7:C11)</f>
        <v>8299036.54</v>
      </c>
      <c r="D12" s="24">
        <f t="shared" si="2"/>
        <v>0</v>
      </c>
      <c r="E12" s="24">
        <f t="shared" si="2"/>
        <v>0</v>
      </c>
      <c r="F12" s="24">
        <f t="shared" si="2"/>
        <v>0</v>
      </c>
      <c r="G12" s="24">
        <f t="shared" si="2"/>
        <v>0</v>
      </c>
      <c r="H12" s="24">
        <f t="shared" si="2"/>
        <v>0</v>
      </c>
      <c r="I12" s="24">
        <f t="shared" si="2"/>
        <v>0</v>
      </c>
      <c r="J12" s="24">
        <f t="shared" si="2"/>
        <v>0</v>
      </c>
      <c r="K12" s="24">
        <f t="shared" si="2"/>
        <v>5532691.027</v>
      </c>
      <c r="L12" s="24">
        <f t="shared" si="2"/>
        <v>0</v>
      </c>
      <c r="M12" s="24">
        <f t="shared" si="2"/>
        <v>0</v>
      </c>
      <c r="N12" s="24">
        <f t="shared" si="2"/>
        <v>0</v>
      </c>
      <c r="O12" s="24">
        <f t="shared" si="2"/>
        <v>0</v>
      </c>
      <c r="P12" s="24">
        <f t="shared" si="2"/>
        <v>0</v>
      </c>
      <c r="Q12" s="24">
        <f t="shared" si="2"/>
        <v>0</v>
      </c>
      <c r="R12" s="24">
        <f t="shared" si="1"/>
        <v>13831727.57</v>
      </c>
      <c r="S12" s="2"/>
      <c r="T12" s="18" t="s">
        <v>35</v>
      </c>
      <c r="U12" s="23">
        <v>0.0</v>
      </c>
      <c r="V12" s="2"/>
      <c r="W12" s="2"/>
      <c r="X12" s="3"/>
      <c r="Y12" s="6"/>
    </row>
    <row r="13">
      <c r="B13" s="10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"/>
      <c r="T13" s="18" t="s">
        <v>37</v>
      </c>
      <c r="U13" s="23">
        <v>0.0</v>
      </c>
      <c r="V13" s="2"/>
      <c r="W13" s="2"/>
      <c r="X13" s="3"/>
      <c r="Y13" s="6"/>
    </row>
    <row r="14">
      <c r="B14" s="29" t="s">
        <v>38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9"/>
      <c r="S14" s="2"/>
      <c r="T14" s="18" t="s">
        <v>45</v>
      </c>
      <c r="U14" s="23">
        <v>9990.0</v>
      </c>
      <c r="V14" s="2"/>
      <c r="W14" s="2"/>
      <c r="X14" s="3"/>
      <c r="Y14" s="6"/>
    </row>
    <row r="15">
      <c r="B15" s="22" t="s">
        <v>46</v>
      </c>
      <c r="C15" s="22">
        <f t="shared" ref="C15:Q15" si="3">$U$8</f>
        <v>369370.6154</v>
      </c>
      <c r="D15" s="22">
        <f t="shared" si="3"/>
        <v>369370.6154</v>
      </c>
      <c r="E15" s="22">
        <f t="shared" si="3"/>
        <v>369370.6154</v>
      </c>
      <c r="F15" s="22">
        <f t="shared" si="3"/>
        <v>369370.6154</v>
      </c>
      <c r="G15" s="22">
        <f t="shared" si="3"/>
        <v>369370.6154</v>
      </c>
      <c r="H15" s="22">
        <f t="shared" si="3"/>
        <v>369370.6154</v>
      </c>
      <c r="I15" s="22">
        <f t="shared" si="3"/>
        <v>369370.6154</v>
      </c>
      <c r="J15" s="22">
        <f t="shared" si="3"/>
        <v>369370.6154</v>
      </c>
      <c r="K15" s="22">
        <f t="shared" si="3"/>
        <v>369370.6154</v>
      </c>
      <c r="L15" s="22">
        <f t="shared" si="3"/>
        <v>369370.6154</v>
      </c>
      <c r="M15" s="22">
        <f t="shared" si="3"/>
        <v>369370.6154</v>
      </c>
      <c r="N15" s="22">
        <f t="shared" si="3"/>
        <v>369370.6154</v>
      </c>
      <c r="O15" s="22">
        <f t="shared" si="3"/>
        <v>369370.6154</v>
      </c>
      <c r="P15" s="22">
        <f t="shared" si="3"/>
        <v>369370.6154</v>
      </c>
      <c r="Q15" s="22">
        <f t="shared" si="3"/>
        <v>369370.6154</v>
      </c>
      <c r="R15" s="22">
        <f t="shared" ref="R15:R25" si="5">SUM(C15:Q15)</f>
        <v>5540559.231</v>
      </c>
      <c r="S15" s="2"/>
      <c r="T15" s="18" t="s">
        <v>95</v>
      </c>
      <c r="U15" s="23">
        <v>0.0</v>
      </c>
      <c r="V15" s="2"/>
      <c r="W15" s="2"/>
      <c r="X15" s="3"/>
      <c r="Y15" s="6"/>
    </row>
    <row r="16">
      <c r="B16" s="22" t="s">
        <v>97</v>
      </c>
      <c r="C16" s="22">
        <f t="shared" ref="C16:Q16" si="4">$U$8</f>
        <v>369370.6154</v>
      </c>
      <c r="D16" s="22">
        <f t="shared" si="4"/>
        <v>369370.6154</v>
      </c>
      <c r="E16" s="22">
        <f t="shared" si="4"/>
        <v>369370.6154</v>
      </c>
      <c r="F16" s="22">
        <f t="shared" si="4"/>
        <v>369370.6154</v>
      </c>
      <c r="G16" s="22">
        <f t="shared" si="4"/>
        <v>369370.6154</v>
      </c>
      <c r="H16" s="22">
        <f t="shared" si="4"/>
        <v>369370.6154</v>
      </c>
      <c r="I16" s="22">
        <f t="shared" si="4"/>
        <v>369370.6154</v>
      </c>
      <c r="J16" s="22">
        <f t="shared" si="4"/>
        <v>369370.6154</v>
      </c>
      <c r="K16" s="22">
        <f t="shared" si="4"/>
        <v>369370.6154</v>
      </c>
      <c r="L16" s="22">
        <f t="shared" si="4"/>
        <v>369370.6154</v>
      </c>
      <c r="M16" s="22">
        <f t="shared" si="4"/>
        <v>369370.6154</v>
      </c>
      <c r="N16" s="22">
        <f t="shared" si="4"/>
        <v>369370.6154</v>
      </c>
      <c r="O16" s="22">
        <f t="shared" si="4"/>
        <v>369370.6154</v>
      </c>
      <c r="P16" s="22">
        <f t="shared" si="4"/>
        <v>369370.6154</v>
      </c>
      <c r="Q16" s="22">
        <f t="shared" si="4"/>
        <v>369370.6154</v>
      </c>
      <c r="R16" s="22">
        <f t="shared" si="5"/>
        <v>5540559.231</v>
      </c>
      <c r="S16" s="2"/>
      <c r="T16" s="18" t="s">
        <v>109</v>
      </c>
      <c r="U16" s="23">
        <f>U8*15*U6</f>
        <v>11081118.46</v>
      </c>
      <c r="V16" s="2"/>
      <c r="W16" s="2"/>
      <c r="X16" s="3"/>
      <c r="Y16" s="6"/>
    </row>
    <row r="17">
      <c r="B17" s="22" t="s">
        <v>114</v>
      </c>
      <c r="C17" s="22">
        <f>$U$10</f>
        <v>1399980</v>
      </c>
      <c r="D17" s="22">
        <v>0.0</v>
      </c>
      <c r="E17" s="22">
        <v>0.0</v>
      </c>
      <c r="F17" s="22">
        <v>0.0</v>
      </c>
      <c r="G17" s="22">
        <v>0.0</v>
      </c>
      <c r="H17" s="22">
        <v>0.0</v>
      </c>
      <c r="I17" s="22">
        <v>0.0</v>
      </c>
      <c r="J17" s="22">
        <v>0.0</v>
      </c>
      <c r="K17" s="22">
        <v>0.0</v>
      </c>
      <c r="L17" s="22">
        <v>0.0</v>
      </c>
      <c r="M17" s="22">
        <v>0.0</v>
      </c>
      <c r="N17" s="22">
        <v>0.0</v>
      </c>
      <c r="O17" s="22">
        <v>0.0</v>
      </c>
      <c r="P17" s="22">
        <v>0.0</v>
      </c>
      <c r="Q17" s="22">
        <v>0.0</v>
      </c>
      <c r="R17" s="22">
        <f t="shared" si="5"/>
        <v>1399980</v>
      </c>
      <c r="S17" s="2"/>
      <c r="T17" s="18" t="s">
        <v>115</v>
      </c>
      <c r="U17" s="23">
        <f>SUM(U10:U15)</f>
        <v>1493179.327</v>
      </c>
      <c r="V17" s="2"/>
      <c r="W17" s="2"/>
      <c r="X17" s="3"/>
      <c r="Y17" s="6"/>
    </row>
    <row r="18">
      <c r="B18" s="22" t="s">
        <v>116</v>
      </c>
      <c r="C18" s="22">
        <f t="shared" ref="C18:Q18" si="6">$U$11/15</f>
        <v>5547.288462</v>
      </c>
      <c r="D18" s="22">
        <f t="shared" si="6"/>
        <v>5547.288462</v>
      </c>
      <c r="E18" s="22">
        <f t="shared" si="6"/>
        <v>5547.288462</v>
      </c>
      <c r="F18" s="22">
        <f t="shared" si="6"/>
        <v>5547.288462</v>
      </c>
      <c r="G18" s="22">
        <f t="shared" si="6"/>
        <v>5547.288462</v>
      </c>
      <c r="H18" s="22">
        <f t="shared" si="6"/>
        <v>5547.288462</v>
      </c>
      <c r="I18" s="22">
        <f t="shared" si="6"/>
        <v>5547.288462</v>
      </c>
      <c r="J18" s="22">
        <f t="shared" si="6"/>
        <v>5547.288462</v>
      </c>
      <c r="K18" s="22">
        <f t="shared" si="6"/>
        <v>5547.288462</v>
      </c>
      <c r="L18" s="22">
        <f t="shared" si="6"/>
        <v>5547.288462</v>
      </c>
      <c r="M18" s="22">
        <f t="shared" si="6"/>
        <v>5547.288462</v>
      </c>
      <c r="N18" s="22">
        <f t="shared" si="6"/>
        <v>5547.288462</v>
      </c>
      <c r="O18" s="22">
        <f t="shared" si="6"/>
        <v>5547.288462</v>
      </c>
      <c r="P18" s="22">
        <f t="shared" si="6"/>
        <v>5547.288462</v>
      </c>
      <c r="Q18" s="22">
        <f t="shared" si="6"/>
        <v>5547.288462</v>
      </c>
      <c r="R18" s="22">
        <f t="shared" si="5"/>
        <v>83209.32692</v>
      </c>
      <c r="S18" s="2"/>
      <c r="T18" s="34" t="s">
        <v>117</v>
      </c>
      <c r="U18" s="36">
        <f>(U16+U17)*(1+U9)</f>
        <v>13831727.57</v>
      </c>
      <c r="V18" s="2"/>
      <c r="W18" s="2"/>
      <c r="X18" s="3"/>
      <c r="Y18" s="6"/>
    </row>
    <row r="19">
      <c r="B19" s="22" t="s">
        <v>118</v>
      </c>
      <c r="C19" s="22">
        <f t="shared" ref="C19:Q19" si="7">$U$12/15</f>
        <v>0</v>
      </c>
      <c r="D19" s="22">
        <f t="shared" si="7"/>
        <v>0</v>
      </c>
      <c r="E19" s="22">
        <f t="shared" si="7"/>
        <v>0</v>
      </c>
      <c r="F19" s="22">
        <f t="shared" si="7"/>
        <v>0</v>
      </c>
      <c r="G19" s="22">
        <f t="shared" si="7"/>
        <v>0</v>
      </c>
      <c r="H19" s="22">
        <f t="shared" si="7"/>
        <v>0</v>
      </c>
      <c r="I19" s="22">
        <f t="shared" si="7"/>
        <v>0</v>
      </c>
      <c r="J19" s="22">
        <f t="shared" si="7"/>
        <v>0</v>
      </c>
      <c r="K19" s="22">
        <f t="shared" si="7"/>
        <v>0</v>
      </c>
      <c r="L19" s="22">
        <f t="shared" si="7"/>
        <v>0</v>
      </c>
      <c r="M19" s="22">
        <f t="shared" si="7"/>
        <v>0</v>
      </c>
      <c r="N19" s="22">
        <f t="shared" si="7"/>
        <v>0</v>
      </c>
      <c r="O19" s="22">
        <f t="shared" si="7"/>
        <v>0</v>
      </c>
      <c r="P19" s="22">
        <f t="shared" si="7"/>
        <v>0</v>
      </c>
      <c r="Q19" s="22">
        <f t="shared" si="7"/>
        <v>0</v>
      </c>
      <c r="R19" s="22">
        <f t="shared" si="5"/>
        <v>0</v>
      </c>
      <c r="S19" s="2"/>
      <c r="T19" s="34" t="s">
        <v>119</v>
      </c>
      <c r="U19" s="36">
        <f>U18</f>
        <v>13831727.57</v>
      </c>
      <c r="V19" s="2"/>
      <c r="W19" s="2"/>
      <c r="X19" s="3"/>
      <c r="Y19" s="6"/>
    </row>
    <row r="20">
      <c r="B20" s="22" t="s">
        <v>120</v>
      </c>
      <c r="C20" s="22">
        <f t="shared" ref="C20:Q20" si="8">$U$13/15</f>
        <v>0</v>
      </c>
      <c r="D20" s="22">
        <f t="shared" si="8"/>
        <v>0</v>
      </c>
      <c r="E20" s="22">
        <f t="shared" si="8"/>
        <v>0</v>
      </c>
      <c r="F20" s="22">
        <f t="shared" si="8"/>
        <v>0</v>
      </c>
      <c r="G20" s="22">
        <f t="shared" si="8"/>
        <v>0</v>
      </c>
      <c r="H20" s="22">
        <f t="shared" si="8"/>
        <v>0</v>
      </c>
      <c r="I20" s="22">
        <f t="shared" si="8"/>
        <v>0</v>
      </c>
      <c r="J20" s="22">
        <f t="shared" si="8"/>
        <v>0</v>
      </c>
      <c r="K20" s="22">
        <f t="shared" si="8"/>
        <v>0</v>
      </c>
      <c r="L20" s="22">
        <f t="shared" si="8"/>
        <v>0</v>
      </c>
      <c r="M20" s="22">
        <f t="shared" si="8"/>
        <v>0</v>
      </c>
      <c r="N20" s="22">
        <f t="shared" si="8"/>
        <v>0</v>
      </c>
      <c r="O20" s="22">
        <f t="shared" si="8"/>
        <v>0</v>
      </c>
      <c r="P20" s="22">
        <f t="shared" si="8"/>
        <v>0</v>
      </c>
      <c r="Q20" s="22">
        <f t="shared" si="8"/>
        <v>0</v>
      </c>
      <c r="R20" s="22">
        <f t="shared" si="5"/>
        <v>0</v>
      </c>
      <c r="S20" s="2"/>
      <c r="T20" s="2"/>
      <c r="U20" s="37"/>
      <c r="V20" s="2"/>
      <c r="W20" s="2"/>
      <c r="X20" s="3"/>
      <c r="Y20" s="6"/>
    </row>
    <row r="21" ht="15.75" customHeight="1">
      <c r="B21" s="22" t="s">
        <v>45</v>
      </c>
      <c r="C21" s="22">
        <f>$U$14</f>
        <v>9990</v>
      </c>
      <c r="D21" s="22">
        <v>0.0</v>
      </c>
      <c r="E21" s="22">
        <v>0.0</v>
      </c>
      <c r="F21" s="22">
        <v>0.0</v>
      </c>
      <c r="G21" s="22">
        <v>0.0</v>
      </c>
      <c r="H21" s="22">
        <v>0.0</v>
      </c>
      <c r="I21" s="22">
        <v>0.0</v>
      </c>
      <c r="J21" s="22">
        <v>0.0</v>
      </c>
      <c r="K21" s="22">
        <v>0.0</v>
      </c>
      <c r="L21" s="22">
        <v>0.0</v>
      </c>
      <c r="M21" s="22">
        <v>0.0</v>
      </c>
      <c r="N21" s="22">
        <v>0.0</v>
      </c>
      <c r="O21" s="22">
        <v>0.0</v>
      </c>
      <c r="P21" s="22">
        <v>0.0</v>
      </c>
      <c r="Q21" s="22">
        <v>0.0</v>
      </c>
      <c r="R21" s="22">
        <f t="shared" si="5"/>
        <v>9990</v>
      </c>
      <c r="S21" s="2"/>
      <c r="T21" s="14" t="s">
        <v>121</v>
      </c>
      <c r="U21" s="9"/>
      <c r="V21" s="2"/>
      <c r="W21" s="2"/>
      <c r="X21" s="3"/>
      <c r="Y21" s="6"/>
    </row>
    <row r="22" ht="15.75" customHeight="1">
      <c r="B22" s="22" t="s">
        <v>122</v>
      </c>
      <c r="C22" s="22">
        <f t="shared" ref="C22:Q22" si="9">$U$15/15</f>
        <v>0</v>
      </c>
      <c r="D22" s="22">
        <f t="shared" si="9"/>
        <v>0</v>
      </c>
      <c r="E22" s="22">
        <f t="shared" si="9"/>
        <v>0</v>
      </c>
      <c r="F22" s="22">
        <f t="shared" si="9"/>
        <v>0</v>
      </c>
      <c r="G22" s="22">
        <f t="shared" si="9"/>
        <v>0</v>
      </c>
      <c r="H22" s="22">
        <f t="shared" si="9"/>
        <v>0</v>
      </c>
      <c r="I22" s="22">
        <f t="shared" si="9"/>
        <v>0</v>
      </c>
      <c r="J22" s="22">
        <f t="shared" si="9"/>
        <v>0</v>
      </c>
      <c r="K22" s="22">
        <f t="shared" si="9"/>
        <v>0</v>
      </c>
      <c r="L22" s="22">
        <f t="shared" si="9"/>
        <v>0</v>
      </c>
      <c r="M22" s="22">
        <f t="shared" si="9"/>
        <v>0</v>
      </c>
      <c r="N22" s="22">
        <f t="shared" si="9"/>
        <v>0</v>
      </c>
      <c r="O22" s="22">
        <f t="shared" si="9"/>
        <v>0</v>
      </c>
      <c r="P22" s="22">
        <f t="shared" si="9"/>
        <v>0</v>
      </c>
      <c r="Q22" s="22">
        <f t="shared" si="9"/>
        <v>0</v>
      </c>
      <c r="R22" s="22">
        <f t="shared" si="5"/>
        <v>0</v>
      </c>
      <c r="S22" s="2"/>
      <c r="T22" s="18" t="s">
        <v>123</v>
      </c>
      <c r="U22" s="23">
        <f>R12</f>
        <v>13831727.57</v>
      </c>
      <c r="V22" s="2"/>
      <c r="W22" s="2"/>
      <c r="X22" s="3"/>
      <c r="Y22" s="6"/>
    </row>
    <row r="23" ht="15.75" customHeight="1">
      <c r="B23" s="38" t="s">
        <v>124</v>
      </c>
      <c r="C23" s="38">
        <f t="shared" ref="C23:Q23" si="10">SUM(C15:C22)</f>
        <v>2154258.519</v>
      </c>
      <c r="D23" s="38">
        <f t="shared" si="10"/>
        <v>744288.5192</v>
      </c>
      <c r="E23" s="38">
        <f t="shared" si="10"/>
        <v>744288.5192</v>
      </c>
      <c r="F23" s="38">
        <f t="shared" si="10"/>
        <v>744288.5192</v>
      </c>
      <c r="G23" s="38">
        <f t="shared" si="10"/>
        <v>744288.5192</v>
      </c>
      <c r="H23" s="38">
        <f t="shared" si="10"/>
        <v>744288.5192</v>
      </c>
      <c r="I23" s="38">
        <f t="shared" si="10"/>
        <v>744288.5192</v>
      </c>
      <c r="J23" s="38">
        <f t="shared" si="10"/>
        <v>744288.5192</v>
      </c>
      <c r="K23" s="38">
        <f t="shared" si="10"/>
        <v>744288.5192</v>
      </c>
      <c r="L23" s="38">
        <f t="shared" si="10"/>
        <v>744288.5192</v>
      </c>
      <c r="M23" s="38">
        <f t="shared" si="10"/>
        <v>744288.5192</v>
      </c>
      <c r="N23" s="38">
        <f t="shared" si="10"/>
        <v>744288.5192</v>
      </c>
      <c r="O23" s="38">
        <f t="shared" si="10"/>
        <v>744288.5192</v>
      </c>
      <c r="P23" s="38">
        <f t="shared" si="10"/>
        <v>744288.5192</v>
      </c>
      <c r="Q23" s="38">
        <f t="shared" si="10"/>
        <v>744288.5192</v>
      </c>
      <c r="R23" s="38">
        <f t="shared" si="5"/>
        <v>12574297.79</v>
      </c>
      <c r="S23" s="2"/>
      <c r="T23" s="18" t="s">
        <v>125</v>
      </c>
      <c r="U23" s="23">
        <f>R25</f>
        <v>13831727.57</v>
      </c>
      <c r="V23" s="2"/>
      <c r="W23" s="2"/>
      <c r="X23" s="3"/>
      <c r="Y23" s="6"/>
    </row>
    <row r="24" ht="15.75" customHeight="1">
      <c r="B24" s="38" t="s">
        <v>126</v>
      </c>
      <c r="C24" s="38">
        <f t="shared" ref="C24:Q24" si="11">C23*$U$9</f>
        <v>215425.8519</v>
      </c>
      <c r="D24" s="38">
        <f t="shared" si="11"/>
        <v>74428.85192</v>
      </c>
      <c r="E24" s="38">
        <f t="shared" si="11"/>
        <v>74428.85192</v>
      </c>
      <c r="F24" s="38">
        <f t="shared" si="11"/>
        <v>74428.85192</v>
      </c>
      <c r="G24" s="38">
        <f t="shared" si="11"/>
        <v>74428.85192</v>
      </c>
      <c r="H24" s="38">
        <f t="shared" si="11"/>
        <v>74428.85192</v>
      </c>
      <c r="I24" s="38">
        <f t="shared" si="11"/>
        <v>74428.85192</v>
      </c>
      <c r="J24" s="38">
        <f t="shared" si="11"/>
        <v>74428.85192</v>
      </c>
      <c r="K24" s="38">
        <f t="shared" si="11"/>
        <v>74428.85192</v>
      </c>
      <c r="L24" s="38">
        <f t="shared" si="11"/>
        <v>74428.85192</v>
      </c>
      <c r="M24" s="38">
        <f t="shared" si="11"/>
        <v>74428.85192</v>
      </c>
      <c r="N24" s="38">
        <f t="shared" si="11"/>
        <v>74428.85192</v>
      </c>
      <c r="O24" s="38">
        <f t="shared" si="11"/>
        <v>74428.85192</v>
      </c>
      <c r="P24" s="38">
        <f t="shared" si="11"/>
        <v>74428.85192</v>
      </c>
      <c r="Q24" s="38">
        <f t="shared" si="11"/>
        <v>74428.85192</v>
      </c>
      <c r="R24" s="38">
        <f t="shared" si="5"/>
        <v>1257429.779</v>
      </c>
      <c r="S24" s="2"/>
      <c r="T24" s="18" t="s">
        <v>127</v>
      </c>
      <c r="U24" s="23">
        <f>R27</f>
        <v>0.000000001629814506</v>
      </c>
      <c r="V24" s="2"/>
      <c r="W24" s="2"/>
      <c r="X24" s="3"/>
      <c r="Y24" s="6"/>
    </row>
    <row r="25" ht="15.75" customHeight="1">
      <c r="B25" s="35" t="s">
        <v>128</v>
      </c>
      <c r="C25" s="35">
        <f t="shared" ref="C25:Q25" si="12">C23+C24</f>
        <v>2369684.371</v>
      </c>
      <c r="D25" s="35">
        <f t="shared" si="12"/>
        <v>818717.3712</v>
      </c>
      <c r="E25" s="35">
        <f t="shared" si="12"/>
        <v>818717.3712</v>
      </c>
      <c r="F25" s="35">
        <f t="shared" si="12"/>
        <v>818717.3712</v>
      </c>
      <c r="G25" s="35">
        <f t="shared" si="12"/>
        <v>818717.3712</v>
      </c>
      <c r="H25" s="35">
        <f t="shared" si="12"/>
        <v>818717.3712</v>
      </c>
      <c r="I25" s="35">
        <f t="shared" si="12"/>
        <v>818717.3712</v>
      </c>
      <c r="J25" s="35">
        <f t="shared" si="12"/>
        <v>818717.3712</v>
      </c>
      <c r="K25" s="35">
        <f t="shared" si="12"/>
        <v>818717.3712</v>
      </c>
      <c r="L25" s="35">
        <f t="shared" si="12"/>
        <v>818717.3712</v>
      </c>
      <c r="M25" s="35">
        <f t="shared" si="12"/>
        <v>818717.3712</v>
      </c>
      <c r="N25" s="35">
        <f t="shared" si="12"/>
        <v>818717.3712</v>
      </c>
      <c r="O25" s="35">
        <f t="shared" si="12"/>
        <v>818717.3712</v>
      </c>
      <c r="P25" s="35">
        <f t="shared" si="12"/>
        <v>818717.3712</v>
      </c>
      <c r="Q25" s="35">
        <f t="shared" si="12"/>
        <v>818717.3712</v>
      </c>
      <c r="R25" s="35">
        <f t="shared" si="5"/>
        <v>13831727.57</v>
      </c>
      <c r="S25" s="2"/>
      <c r="T25" s="18" t="s">
        <v>109</v>
      </c>
      <c r="U25" s="23">
        <f t="shared" ref="U25:U26" si="13">U16</f>
        <v>11081118.46</v>
      </c>
      <c r="V25" s="2"/>
      <c r="W25" s="2"/>
      <c r="X25" s="3"/>
      <c r="Y25" s="6"/>
    </row>
    <row r="26" ht="15.75" customHeight="1">
      <c r="B26" s="10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"/>
      <c r="T26" s="18" t="s">
        <v>140</v>
      </c>
      <c r="U26" s="23">
        <f t="shared" si="13"/>
        <v>1493179.327</v>
      </c>
      <c r="V26" s="2"/>
      <c r="W26" s="2"/>
      <c r="X26" s="3"/>
      <c r="Y26" s="6"/>
    </row>
    <row r="27" ht="15.75" customHeight="1">
      <c r="B27" s="24" t="s">
        <v>142</v>
      </c>
      <c r="C27" s="24">
        <f t="shared" ref="C27:Q27" si="14">C12-C25</f>
        <v>5929352.169</v>
      </c>
      <c r="D27" s="24">
        <f t="shared" si="14"/>
        <v>-818717.3712</v>
      </c>
      <c r="E27" s="24">
        <f t="shared" si="14"/>
        <v>-818717.3712</v>
      </c>
      <c r="F27" s="24">
        <f t="shared" si="14"/>
        <v>-818717.3712</v>
      </c>
      <c r="G27" s="24">
        <f t="shared" si="14"/>
        <v>-818717.3712</v>
      </c>
      <c r="H27" s="24">
        <f t="shared" si="14"/>
        <v>-818717.3712</v>
      </c>
      <c r="I27" s="24">
        <f t="shared" si="14"/>
        <v>-818717.3712</v>
      </c>
      <c r="J27" s="24">
        <f t="shared" si="14"/>
        <v>-818717.3712</v>
      </c>
      <c r="K27" s="24">
        <f t="shared" si="14"/>
        <v>4713973.656</v>
      </c>
      <c r="L27" s="24">
        <f t="shared" si="14"/>
        <v>-818717.3712</v>
      </c>
      <c r="M27" s="24">
        <f t="shared" si="14"/>
        <v>-818717.3712</v>
      </c>
      <c r="N27" s="24">
        <f t="shared" si="14"/>
        <v>-818717.3712</v>
      </c>
      <c r="O27" s="24">
        <f t="shared" si="14"/>
        <v>-818717.3712</v>
      </c>
      <c r="P27" s="24">
        <f t="shared" si="14"/>
        <v>-818717.3712</v>
      </c>
      <c r="Q27" s="24">
        <f t="shared" si="14"/>
        <v>-818717.3712</v>
      </c>
      <c r="R27" s="24">
        <f>SUM(C27:Q27)</f>
        <v>0.000000001629814506</v>
      </c>
      <c r="S27" s="2"/>
      <c r="T27" s="18" t="s">
        <v>149</v>
      </c>
      <c r="U27" s="23">
        <f>R24</f>
        <v>1257429.779</v>
      </c>
      <c r="V27" s="2"/>
      <c r="W27" s="2"/>
      <c r="X27" s="3"/>
      <c r="Y27" s="6"/>
    </row>
    <row r="28" ht="15.75" customHeight="1">
      <c r="B28" s="24" t="s">
        <v>150</v>
      </c>
      <c r="C28" s="24">
        <f>C27</f>
        <v>5929352.169</v>
      </c>
      <c r="D28" s="24">
        <f t="shared" ref="D28:Q28" si="15">C28+D27</f>
        <v>5110634.798</v>
      </c>
      <c r="E28" s="24">
        <f t="shared" si="15"/>
        <v>4291917.427</v>
      </c>
      <c r="F28" s="24">
        <f t="shared" si="15"/>
        <v>3473200.056</v>
      </c>
      <c r="G28" s="24">
        <f t="shared" si="15"/>
        <v>2654482.685</v>
      </c>
      <c r="H28" s="24">
        <f t="shared" si="15"/>
        <v>1835765.313</v>
      </c>
      <c r="I28" s="24">
        <f t="shared" si="15"/>
        <v>1017047.942</v>
      </c>
      <c r="J28" s="24">
        <f t="shared" si="15"/>
        <v>198330.5712</v>
      </c>
      <c r="K28" s="24">
        <f t="shared" si="15"/>
        <v>4912304.227</v>
      </c>
      <c r="L28" s="24">
        <f t="shared" si="15"/>
        <v>4093586.856</v>
      </c>
      <c r="M28" s="24">
        <f t="shared" si="15"/>
        <v>3274869.485</v>
      </c>
      <c r="N28" s="24">
        <f t="shared" si="15"/>
        <v>2456152.113</v>
      </c>
      <c r="O28" s="24">
        <f t="shared" si="15"/>
        <v>1637434.742</v>
      </c>
      <c r="P28" s="24">
        <f t="shared" si="15"/>
        <v>818717.3712</v>
      </c>
      <c r="Q28" s="24">
        <f t="shared" si="15"/>
        <v>0.000000001629814506</v>
      </c>
      <c r="R28" s="24">
        <f>Q28</f>
        <v>0.000000001629814506</v>
      </c>
      <c r="S28" s="2"/>
      <c r="T28" s="2"/>
      <c r="U28" s="2"/>
      <c r="V28" s="2"/>
      <c r="W28" s="2"/>
      <c r="X28" s="3"/>
      <c r="Y28" s="6"/>
    </row>
    <row r="29" ht="15.75" customHeight="1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14" t="s">
        <v>167</v>
      </c>
      <c r="U29" s="8"/>
      <c r="V29" s="8"/>
      <c r="W29" s="8"/>
      <c r="X29" s="9"/>
      <c r="Y29" s="6"/>
    </row>
    <row r="30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60" t="s">
        <v>172</v>
      </c>
      <c r="U30" s="60" t="s">
        <v>173</v>
      </c>
      <c r="V30" s="60" t="s">
        <v>174</v>
      </c>
      <c r="W30" s="60" t="s">
        <v>175</v>
      </c>
      <c r="X30" s="60" t="s">
        <v>42</v>
      </c>
      <c r="Y30" s="6"/>
    </row>
    <row r="31" ht="15.75" customHeight="1">
      <c r="B31" s="59" t="s">
        <v>176</v>
      </c>
      <c r="C31" s="18" t="s">
        <v>31</v>
      </c>
      <c r="D31" s="23">
        <f>$U$10</f>
        <v>1399980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18" t="s">
        <v>177</v>
      </c>
      <c r="U31" s="18" t="s">
        <v>178</v>
      </c>
      <c r="V31" s="23">
        <v>1600606.0</v>
      </c>
      <c r="W31" s="23">
        <f t="shared" ref="W31:W32" si="16">V31/160</f>
        <v>10003.7875</v>
      </c>
      <c r="X31" s="63" t="s">
        <v>53</v>
      </c>
      <c r="Y31" s="6"/>
    </row>
    <row r="32" ht="15.75" customHeight="1">
      <c r="B32" s="62"/>
      <c r="C32" s="18" t="s">
        <v>116</v>
      </c>
      <c r="D32" s="23">
        <f>$U$11</f>
        <v>83209.32692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18" t="s">
        <v>179</v>
      </c>
      <c r="U32" s="18" t="s">
        <v>180</v>
      </c>
      <c r="V32" s="23">
        <v>1600606.0</v>
      </c>
      <c r="W32" s="23">
        <f t="shared" si="16"/>
        <v>10003.7875</v>
      </c>
      <c r="X32" s="63" t="s">
        <v>53</v>
      </c>
      <c r="Y32" s="6"/>
    </row>
    <row r="33" ht="15.75" customHeight="1">
      <c r="B33" s="62"/>
      <c r="C33" s="18" t="s">
        <v>118</v>
      </c>
      <c r="D33" s="23">
        <f>$U$12</f>
        <v>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3"/>
      <c r="Y33" s="6"/>
    </row>
    <row r="34" ht="15.75" customHeight="1">
      <c r="B34" s="62"/>
      <c r="C34" s="18" t="s">
        <v>120</v>
      </c>
      <c r="D34" s="23">
        <f>$U$13</f>
        <v>0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14" t="s">
        <v>181</v>
      </c>
      <c r="U34" s="9"/>
      <c r="V34" s="2"/>
      <c r="W34" s="2"/>
      <c r="X34" s="3"/>
      <c r="Y34" s="6"/>
    </row>
    <row r="35" ht="15.75" customHeight="1">
      <c r="B35" s="62"/>
      <c r="C35" s="18" t="s">
        <v>45</v>
      </c>
      <c r="D35" s="23">
        <f>$U$14</f>
        <v>9990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18" t="s">
        <v>31</v>
      </c>
      <c r="U35" s="23">
        <v>1399980.0</v>
      </c>
      <c r="V35" s="2"/>
      <c r="W35" s="2"/>
      <c r="X35" s="3"/>
      <c r="Y35" s="6"/>
    </row>
    <row r="36" ht="15.75" customHeight="1">
      <c r="B36" s="62"/>
      <c r="C36" s="18" t="s">
        <v>95</v>
      </c>
      <c r="D36" s="23">
        <f>$U$15</f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18" t="s">
        <v>78</v>
      </c>
      <c r="U36" s="23">
        <v>83209.32692307695</v>
      </c>
      <c r="V36" s="2"/>
      <c r="W36" s="2"/>
      <c r="X36" s="3"/>
      <c r="Y36" s="6"/>
    </row>
    <row r="37" ht="15.75" customHeight="1">
      <c r="B37" s="62"/>
      <c r="C37" s="18" t="s">
        <v>126</v>
      </c>
      <c r="D37" s="23">
        <f>$R$24</f>
        <v>1257429.779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18" t="s">
        <v>83</v>
      </c>
      <c r="U37" s="23">
        <v>0.0</v>
      </c>
      <c r="V37" s="2"/>
      <c r="W37" s="2"/>
      <c r="X37" s="3"/>
      <c r="Y37" s="6"/>
    </row>
    <row r="38" ht="15.75" customHeight="1">
      <c r="B38" s="64"/>
      <c r="C38" s="65" t="s">
        <v>182</v>
      </c>
      <c r="D38" s="66">
        <f>SUM(D31:D37)</f>
        <v>2750609.106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18" t="s">
        <v>88</v>
      </c>
      <c r="U38" s="23">
        <v>0.0</v>
      </c>
      <c r="V38" s="2"/>
      <c r="W38" s="2"/>
      <c r="X38" s="3"/>
      <c r="Y38" s="6"/>
    </row>
    <row r="39" ht="15.75" customHeight="1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18" t="s">
        <v>45</v>
      </c>
      <c r="U39" s="23">
        <v>9990.0</v>
      </c>
      <c r="V39" s="2"/>
      <c r="W39" s="2"/>
      <c r="X39" s="3"/>
      <c r="Y39" s="6"/>
    </row>
    <row r="40" ht="15.75" customHeight="1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18" t="s">
        <v>95</v>
      </c>
      <c r="U40" s="23">
        <v>0.0</v>
      </c>
      <c r="V40" s="2"/>
      <c r="W40" s="2"/>
      <c r="X40" s="3"/>
      <c r="Y40" s="6"/>
    </row>
    <row r="41" ht="15.75" customHeight="1">
      <c r="B41" s="2" t="s">
        <v>183</v>
      </c>
      <c r="C41" s="2" t="s">
        <v>184</v>
      </c>
      <c r="S41" s="2"/>
      <c r="T41" s="2"/>
      <c r="U41" s="2"/>
      <c r="V41" s="2"/>
      <c r="W41" s="2"/>
      <c r="X41" s="3"/>
      <c r="Y41" s="6"/>
    </row>
    <row r="42" ht="15.75" customHeight="1">
      <c r="B42" s="2" t="s">
        <v>185</v>
      </c>
      <c r="C42" s="2" t="s">
        <v>186</v>
      </c>
      <c r="S42" s="2"/>
      <c r="T42" s="2"/>
      <c r="U42" s="2"/>
      <c r="V42" s="2"/>
      <c r="W42" s="2"/>
      <c r="X42" s="68"/>
      <c r="Y42" s="6"/>
    </row>
    <row r="43" ht="15.75" customHeight="1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68"/>
      <c r="Y43" s="6"/>
    </row>
    <row r="44" ht="15.75" customHeight="1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2"/>
      <c r="T44" s="2"/>
      <c r="U44" s="67" t="s">
        <v>187</v>
      </c>
      <c r="V44" s="8"/>
      <c r="W44" s="9"/>
      <c r="X44" s="68"/>
      <c r="Y44" s="6"/>
    </row>
    <row r="45" ht="15.75" customHeight="1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69" t="s">
        <v>188</v>
      </c>
      <c r="V45" s="69" t="s">
        <v>189</v>
      </c>
      <c r="W45" s="69" t="s">
        <v>190</v>
      </c>
      <c r="X45" s="3"/>
      <c r="Y45" s="6"/>
    </row>
    <row r="46" ht="15.75" customHeight="1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6"/>
      <c r="T46" s="6"/>
      <c r="U46" s="18" t="s">
        <v>6</v>
      </c>
      <c r="V46" s="74">
        <v>0.6</v>
      </c>
      <c r="W46" s="18" t="s">
        <v>191</v>
      </c>
      <c r="X46" s="6"/>
      <c r="Y46" s="6"/>
    </row>
    <row r="47" ht="15.75" customHeight="1">
      <c r="B47" s="72" t="s">
        <v>192</v>
      </c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9"/>
      <c r="O47" s="6"/>
      <c r="P47" s="6"/>
      <c r="Q47" s="6"/>
      <c r="R47" s="2"/>
      <c r="S47" s="6"/>
      <c r="T47" s="6"/>
      <c r="U47" s="18" t="s">
        <v>14</v>
      </c>
      <c r="V47" s="74">
        <v>0.4</v>
      </c>
      <c r="W47" s="18" t="s">
        <v>193</v>
      </c>
      <c r="X47" s="6"/>
      <c r="Y47" s="6"/>
    </row>
    <row r="48" ht="15.75" customHeight="1">
      <c r="B48" s="69" t="s">
        <v>5</v>
      </c>
      <c r="C48" s="69" t="s">
        <v>194</v>
      </c>
      <c r="D48" s="69" t="s">
        <v>195</v>
      </c>
      <c r="E48" s="69" t="s">
        <v>196</v>
      </c>
      <c r="F48" s="69" t="s">
        <v>197</v>
      </c>
      <c r="G48" s="69" t="s">
        <v>198</v>
      </c>
      <c r="H48" s="69" t="s">
        <v>199</v>
      </c>
      <c r="I48" s="69" t="s">
        <v>200</v>
      </c>
      <c r="J48" s="69" t="s">
        <v>201</v>
      </c>
      <c r="K48" s="69" t="s">
        <v>202</v>
      </c>
      <c r="L48" s="69" t="s">
        <v>203</v>
      </c>
      <c r="M48" s="69" t="s">
        <v>204</v>
      </c>
      <c r="N48" s="69" t="s">
        <v>205</v>
      </c>
      <c r="O48" s="6"/>
      <c r="P48" s="6"/>
      <c r="Q48" s="6"/>
      <c r="R48" s="6"/>
      <c r="S48" s="6"/>
      <c r="T48" s="6"/>
      <c r="U48" s="81"/>
      <c r="V48" s="82"/>
      <c r="W48" s="83"/>
      <c r="X48" s="6"/>
      <c r="Y48" s="6"/>
    </row>
    <row r="49" ht="15.75" customHeight="1">
      <c r="B49" s="18" t="s">
        <v>208</v>
      </c>
      <c r="C49" s="23">
        <f>$V$55</f>
        <v>1500000</v>
      </c>
      <c r="D49" s="23">
        <v>0.0</v>
      </c>
      <c r="E49" s="23">
        <v>0.0</v>
      </c>
      <c r="F49" s="23">
        <v>0.0</v>
      </c>
      <c r="G49" s="23">
        <v>0.0</v>
      </c>
      <c r="H49" s="23">
        <v>0.0</v>
      </c>
      <c r="I49" s="23">
        <v>0.0</v>
      </c>
      <c r="J49" s="23">
        <v>0.0</v>
      </c>
      <c r="K49" s="23">
        <v>0.0</v>
      </c>
      <c r="L49" s="23">
        <v>0.0</v>
      </c>
      <c r="M49" s="23">
        <v>0.0</v>
      </c>
      <c r="N49" s="23">
        <v>0.0</v>
      </c>
      <c r="O49" s="6"/>
      <c r="P49" s="6"/>
      <c r="Q49" s="6"/>
      <c r="R49" s="6"/>
      <c r="S49" s="6"/>
      <c r="T49" s="6"/>
      <c r="U49" s="85"/>
      <c r="V49" s="86"/>
      <c r="W49" s="87"/>
      <c r="X49" s="6"/>
      <c r="Y49" s="6"/>
    </row>
    <row r="50" ht="15.75" customHeight="1">
      <c r="B50" s="88" t="s">
        <v>207</v>
      </c>
      <c r="C50" s="89">
        <f t="shared" ref="C50:N50" si="17">SUM(C49)</f>
        <v>1500000</v>
      </c>
      <c r="D50" s="89">
        <f t="shared" si="17"/>
        <v>0</v>
      </c>
      <c r="E50" s="89">
        <f t="shared" si="17"/>
        <v>0</v>
      </c>
      <c r="F50" s="89">
        <f t="shared" si="17"/>
        <v>0</v>
      </c>
      <c r="G50" s="89">
        <f t="shared" si="17"/>
        <v>0</v>
      </c>
      <c r="H50" s="89">
        <f t="shared" si="17"/>
        <v>0</v>
      </c>
      <c r="I50" s="89">
        <f t="shared" si="17"/>
        <v>0</v>
      </c>
      <c r="J50" s="89">
        <f t="shared" si="17"/>
        <v>0</v>
      </c>
      <c r="K50" s="89">
        <f t="shared" si="17"/>
        <v>0</v>
      </c>
      <c r="L50" s="89">
        <f t="shared" si="17"/>
        <v>0</v>
      </c>
      <c r="M50" s="89">
        <f t="shared" si="17"/>
        <v>0</v>
      </c>
      <c r="N50" s="89">
        <f t="shared" si="17"/>
        <v>0</v>
      </c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ht="15.75" customHeight="1">
      <c r="B51" s="88" t="s">
        <v>209</v>
      </c>
      <c r="C51" s="89">
        <f>C50</f>
        <v>1500000</v>
      </c>
      <c r="D51" s="89">
        <f t="shared" ref="D51:N51" si="18">C51+D50</f>
        <v>1500000</v>
      </c>
      <c r="E51" s="89">
        <f t="shared" si="18"/>
        <v>1500000</v>
      </c>
      <c r="F51" s="89">
        <f t="shared" si="18"/>
        <v>1500000</v>
      </c>
      <c r="G51" s="89">
        <f t="shared" si="18"/>
        <v>1500000</v>
      </c>
      <c r="H51" s="89">
        <f t="shared" si="18"/>
        <v>1500000</v>
      </c>
      <c r="I51" s="89">
        <f t="shared" si="18"/>
        <v>1500000</v>
      </c>
      <c r="J51" s="89">
        <f t="shared" si="18"/>
        <v>1500000</v>
      </c>
      <c r="K51" s="89">
        <f t="shared" si="18"/>
        <v>1500000</v>
      </c>
      <c r="L51" s="89">
        <f t="shared" si="18"/>
        <v>1500000</v>
      </c>
      <c r="M51" s="89">
        <f t="shared" si="18"/>
        <v>1500000</v>
      </c>
      <c r="N51" s="89">
        <f t="shared" si="18"/>
        <v>1500000</v>
      </c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>
      <c r="B52" s="91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6"/>
      <c r="P52" s="6"/>
      <c r="Q52" s="6"/>
      <c r="R52" s="6"/>
      <c r="S52" s="6"/>
      <c r="T52" s="6"/>
      <c r="U52" s="90" t="s">
        <v>210</v>
      </c>
      <c r="V52" s="8"/>
      <c r="W52" s="9"/>
      <c r="X52" s="6"/>
      <c r="Y52" s="6"/>
    </row>
    <row r="53" ht="15.75" customHeight="1">
      <c r="B53" s="95" t="s">
        <v>216</v>
      </c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6"/>
      <c r="R53" s="6"/>
      <c r="S53" s="6"/>
      <c r="T53" s="6"/>
      <c r="U53" s="69" t="s">
        <v>211</v>
      </c>
      <c r="V53" s="69" t="s">
        <v>153</v>
      </c>
      <c r="W53" s="69" t="s">
        <v>212</v>
      </c>
      <c r="X53" s="6"/>
      <c r="Y53" s="6"/>
    </row>
    <row r="54" ht="15.75" customHeight="1">
      <c r="B54" s="97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9"/>
      <c r="R54" s="6"/>
      <c r="S54" s="6"/>
      <c r="T54" s="6"/>
      <c r="U54" s="18" t="s">
        <v>223</v>
      </c>
      <c r="V54" s="18">
        <v>1.0</v>
      </c>
      <c r="W54" s="18" t="s">
        <v>225</v>
      </c>
      <c r="X54" s="6"/>
      <c r="Y54" s="6"/>
    </row>
    <row r="55" ht="15.75" customHeight="1">
      <c r="R55" s="6"/>
      <c r="S55" s="6"/>
      <c r="T55" s="6"/>
      <c r="U55" s="18" t="s">
        <v>227</v>
      </c>
      <c r="V55" s="23">
        <v>1500000.0</v>
      </c>
      <c r="W55" s="18" t="s">
        <v>228</v>
      </c>
      <c r="X55" s="6"/>
      <c r="Y55" s="6"/>
    </row>
    <row r="56" ht="15.75" customHeight="1">
      <c r="R56" s="6"/>
      <c r="S56" s="6"/>
      <c r="T56" s="6"/>
      <c r="U56" s="18" t="s">
        <v>230</v>
      </c>
      <c r="V56" s="23">
        <v>0.0</v>
      </c>
      <c r="W56" s="18" t="s">
        <v>231</v>
      </c>
      <c r="X56" s="6"/>
      <c r="Y56" s="6"/>
    </row>
    <row r="57" ht="15.75" customHeight="1">
      <c r="R57" s="6"/>
      <c r="S57" s="6"/>
      <c r="T57" s="6"/>
      <c r="U57" s="18" t="s">
        <v>232</v>
      </c>
      <c r="V57" s="23">
        <f>V54*V55</f>
        <v>1500000</v>
      </c>
      <c r="W57" s="18" t="s">
        <v>233</v>
      </c>
      <c r="X57" s="6"/>
      <c r="Y57" s="6"/>
    </row>
    <row r="58">
      <c r="R58" s="6"/>
      <c r="S58" s="6"/>
      <c r="T58" s="6"/>
      <c r="U58" s="2"/>
      <c r="V58" s="37"/>
      <c r="W58" s="2"/>
      <c r="X58" s="6"/>
      <c r="Y58" s="6"/>
    </row>
    <row r="59">
      <c r="R59" s="6"/>
      <c r="S59" s="6"/>
      <c r="T59" s="6"/>
      <c r="U59" s="2"/>
      <c r="V59" s="2"/>
      <c r="W59" s="2"/>
      <c r="X59" s="6"/>
      <c r="Y59" s="6"/>
    </row>
    <row r="60">
      <c r="U60" s="1"/>
      <c r="V60" s="1"/>
      <c r="W60" s="1"/>
    </row>
    <row r="61" ht="15.75" customHeight="1">
      <c r="U61" s="1"/>
      <c r="V61" s="1"/>
      <c r="W61" s="1"/>
    </row>
    <row r="62" ht="15.75" customHeight="1">
      <c r="U62" s="1"/>
      <c r="V62" s="1"/>
      <c r="W62" s="1"/>
    </row>
    <row r="63" ht="15.75" customHeight="1">
      <c r="U63" s="1"/>
      <c r="V63" s="1"/>
      <c r="W63" s="1"/>
    </row>
    <row r="64" ht="15.75" customHeight="1">
      <c r="U64" s="1"/>
      <c r="V64" s="1"/>
      <c r="W64" s="1"/>
    </row>
    <row r="65" ht="15.75" customHeight="1">
      <c r="U65" s="1"/>
      <c r="V65" s="1"/>
      <c r="W65" s="1"/>
    </row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B2:R2"/>
    <mergeCell ref="B4:R4"/>
    <mergeCell ref="T4:U4"/>
    <mergeCell ref="B5:R5"/>
    <mergeCell ref="B14:R14"/>
    <mergeCell ref="T21:U21"/>
    <mergeCell ref="U52:W52"/>
    <mergeCell ref="B47:N47"/>
    <mergeCell ref="B53:Q54"/>
    <mergeCell ref="T29:X29"/>
    <mergeCell ref="T34:U34"/>
    <mergeCell ref="C41:R41"/>
    <mergeCell ref="C42:R42"/>
    <mergeCell ref="U44:W44"/>
    <mergeCell ref="B31:B38"/>
  </mergeCells>
  <conditionalFormatting sqref="C28:Q28">
    <cfRule type="expression" dxfId="0" priority="1">
      <formula>C28&lt;0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.0"/>
    <col customWidth="1" min="2" max="2" width="38.0"/>
    <col customWidth="1" min="3" max="3" width="21.63"/>
    <col customWidth="1" min="4" max="14" width="12.0"/>
    <col customWidth="1" min="15" max="17" width="11.0"/>
    <col customWidth="1" min="18" max="18" width="16.0"/>
    <col customWidth="1" min="19" max="19" width="3.0"/>
    <col customWidth="1" min="20" max="20" width="26.0"/>
    <col customWidth="1" min="21" max="21" width="31.0"/>
    <col customWidth="1" min="22" max="22" width="18.0"/>
    <col customWidth="1" min="23" max="23" width="50.0"/>
    <col customWidth="1" min="24" max="24" width="13.0"/>
    <col customWidth="1" min="25" max="26" width="8.63"/>
  </cols>
  <sheetData>
    <row r="1">
      <c r="S1" s="1"/>
      <c r="T1" s="1"/>
      <c r="U1" s="1"/>
      <c r="V1" s="1"/>
      <c r="W1" s="1"/>
      <c r="X1" s="3"/>
    </row>
    <row r="2">
      <c r="B2" s="5" t="s">
        <v>0</v>
      </c>
      <c r="S2" s="1"/>
      <c r="T2" s="1"/>
      <c r="U2" s="1"/>
      <c r="V2" s="1"/>
      <c r="W2" s="1"/>
      <c r="X2" s="3"/>
    </row>
    <row r="3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3"/>
    </row>
    <row r="4">
      <c r="B4" s="7" t="s">
        <v>1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9"/>
      <c r="S4" s="2"/>
      <c r="T4" s="11" t="s">
        <v>2</v>
      </c>
      <c r="U4" s="9"/>
      <c r="V4" s="2"/>
      <c r="W4" s="2"/>
      <c r="X4" s="3"/>
    </row>
    <row r="5">
      <c r="B5" s="7" t="s">
        <v>3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9"/>
      <c r="S5" s="2"/>
      <c r="T5" s="15" t="s">
        <v>4</v>
      </c>
      <c r="U5" s="16">
        <v>15.0</v>
      </c>
      <c r="V5" s="2"/>
      <c r="W5" s="2"/>
      <c r="X5" s="3"/>
    </row>
    <row r="6">
      <c r="B6" s="17" t="s">
        <v>5</v>
      </c>
      <c r="C6" s="17" t="s">
        <v>6</v>
      </c>
      <c r="D6" s="17" t="s">
        <v>7</v>
      </c>
      <c r="E6" s="17" t="s">
        <v>8</v>
      </c>
      <c r="F6" s="17" t="s">
        <v>9</v>
      </c>
      <c r="G6" s="17" t="s">
        <v>10</v>
      </c>
      <c r="H6" s="17" t="s">
        <v>11</v>
      </c>
      <c r="I6" s="17" t="s">
        <v>12</v>
      </c>
      <c r="J6" s="17" t="s">
        <v>13</v>
      </c>
      <c r="K6" s="17" t="s">
        <v>14</v>
      </c>
      <c r="L6" s="17" t="s">
        <v>15</v>
      </c>
      <c r="M6" s="17" t="s">
        <v>16</v>
      </c>
      <c r="N6" s="17" t="s">
        <v>17</v>
      </c>
      <c r="O6" s="17" t="s">
        <v>18</v>
      </c>
      <c r="P6" s="17" t="s">
        <v>19</v>
      </c>
      <c r="Q6" s="17" t="s">
        <v>20</v>
      </c>
      <c r="R6" s="17" t="s">
        <v>21</v>
      </c>
      <c r="S6" s="2"/>
      <c r="T6" s="15" t="s">
        <v>22</v>
      </c>
      <c r="U6" s="16">
        <v>2.0</v>
      </c>
      <c r="V6" s="2"/>
      <c r="W6" s="2"/>
      <c r="X6" s="3"/>
    </row>
    <row r="7">
      <c r="B7" s="21" t="s">
        <v>24</v>
      </c>
      <c r="C7" s="22">
        <f>$U$19*$V$46</f>
        <v>12095042.68</v>
      </c>
      <c r="D7" s="22">
        <v>0.0</v>
      </c>
      <c r="E7" s="22">
        <v>0.0</v>
      </c>
      <c r="F7" s="22">
        <v>0.0</v>
      </c>
      <c r="G7" s="22">
        <v>0.0</v>
      </c>
      <c r="H7" s="22">
        <v>0.0</v>
      </c>
      <c r="I7" s="22">
        <v>0.0</v>
      </c>
      <c r="J7" s="22">
        <v>0.0</v>
      </c>
      <c r="K7" s="22">
        <f>$U$19*$V$47</f>
        <v>8063361.786</v>
      </c>
      <c r="L7" s="22">
        <v>0.0</v>
      </c>
      <c r="M7" s="22">
        <v>0.0</v>
      </c>
      <c r="N7" s="22">
        <v>0.0</v>
      </c>
      <c r="O7" s="22">
        <v>0.0</v>
      </c>
      <c r="P7" s="22">
        <v>0.0</v>
      </c>
      <c r="Q7" s="22">
        <v>0.0</v>
      </c>
      <c r="R7" s="22">
        <f t="shared" ref="R7:R12" si="1">SUM(C7:Q7)</f>
        <v>20158404.47</v>
      </c>
      <c r="S7" s="2"/>
      <c r="T7" s="22" t="s">
        <v>25</v>
      </c>
      <c r="U7" s="22">
        <v>2144444.0</v>
      </c>
      <c r="V7" s="2"/>
      <c r="W7" s="2"/>
      <c r="X7" s="3"/>
    </row>
    <row r="8">
      <c r="B8" s="22" t="s">
        <v>26</v>
      </c>
      <c r="C8" s="22">
        <v>0.0</v>
      </c>
      <c r="D8" s="22">
        <v>0.0</v>
      </c>
      <c r="E8" s="22">
        <v>0.0</v>
      </c>
      <c r="F8" s="22">
        <v>0.0</v>
      </c>
      <c r="G8" s="22">
        <v>0.0</v>
      </c>
      <c r="H8" s="22">
        <v>0.0</v>
      </c>
      <c r="I8" s="22">
        <v>0.0</v>
      </c>
      <c r="J8" s="22">
        <v>0.0</v>
      </c>
      <c r="K8" s="22">
        <v>0.0</v>
      </c>
      <c r="L8" s="22">
        <v>0.0</v>
      </c>
      <c r="M8" s="22">
        <v>0.0</v>
      </c>
      <c r="N8" s="22">
        <v>0.0</v>
      </c>
      <c r="O8" s="22">
        <v>0.0</v>
      </c>
      <c r="P8" s="22">
        <v>0.0</v>
      </c>
      <c r="Q8" s="22">
        <v>0.0</v>
      </c>
      <c r="R8" s="22">
        <f t="shared" si="1"/>
        <v>0</v>
      </c>
      <c r="S8" s="2"/>
      <c r="T8" s="22" t="s">
        <v>27</v>
      </c>
      <c r="U8" s="22">
        <f>U7*12/52</f>
        <v>494871.6923</v>
      </c>
      <c r="V8" s="2"/>
      <c r="W8" s="2"/>
      <c r="X8" s="3"/>
    </row>
    <row r="9">
      <c r="B9" s="22" t="s">
        <v>28</v>
      </c>
      <c r="C9" s="22">
        <v>0.0</v>
      </c>
      <c r="D9" s="22">
        <v>0.0</v>
      </c>
      <c r="E9" s="22">
        <v>0.0</v>
      </c>
      <c r="F9" s="22">
        <v>0.0</v>
      </c>
      <c r="G9" s="22">
        <v>0.0</v>
      </c>
      <c r="H9" s="22">
        <v>0.0</v>
      </c>
      <c r="I9" s="22">
        <v>0.0</v>
      </c>
      <c r="J9" s="22">
        <v>0.0</v>
      </c>
      <c r="K9" s="22">
        <v>0.0</v>
      </c>
      <c r="L9" s="22">
        <v>0.0</v>
      </c>
      <c r="M9" s="22">
        <v>0.0</v>
      </c>
      <c r="N9" s="22">
        <v>0.0</v>
      </c>
      <c r="O9" s="22">
        <v>0.0</v>
      </c>
      <c r="P9" s="22">
        <v>0.0</v>
      </c>
      <c r="Q9" s="22">
        <v>0.0</v>
      </c>
      <c r="R9" s="22">
        <f t="shared" si="1"/>
        <v>0</v>
      </c>
      <c r="S9" s="2"/>
      <c r="T9" s="22" t="s">
        <v>29</v>
      </c>
      <c r="U9" s="22">
        <v>0.15</v>
      </c>
      <c r="V9" s="2"/>
      <c r="W9" s="2"/>
      <c r="X9" s="3"/>
    </row>
    <row r="10">
      <c r="B10" s="22" t="s">
        <v>30</v>
      </c>
      <c r="C10" s="22">
        <v>0.0</v>
      </c>
      <c r="D10" s="22">
        <v>0.0</v>
      </c>
      <c r="E10" s="22">
        <v>0.0</v>
      </c>
      <c r="F10" s="22">
        <v>0.0</v>
      </c>
      <c r="G10" s="22">
        <v>0.0</v>
      </c>
      <c r="H10" s="22">
        <v>0.0</v>
      </c>
      <c r="I10" s="22">
        <v>0.0</v>
      </c>
      <c r="J10" s="22">
        <v>0.0</v>
      </c>
      <c r="K10" s="22">
        <v>0.0</v>
      </c>
      <c r="L10" s="22">
        <v>0.0</v>
      </c>
      <c r="M10" s="22">
        <v>0.0</v>
      </c>
      <c r="N10" s="22">
        <v>0.0</v>
      </c>
      <c r="O10" s="22">
        <v>0.0</v>
      </c>
      <c r="P10" s="22">
        <v>0.0</v>
      </c>
      <c r="Q10" s="22">
        <v>0.0</v>
      </c>
      <c r="R10" s="22">
        <f t="shared" si="1"/>
        <v>0</v>
      </c>
      <c r="S10" s="2"/>
      <c r="T10" s="22" t="s">
        <v>31</v>
      </c>
      <c r="U10" s="22">
        <v>2399980.0</v>
      </c>
      <c r="V10" s="2"/>
      <c r="W10" s="2"/>
      <c r="X10" s="3"/>
    </row>
    <row r="11">
      <c r="B11" s="22" t="s">
        <v>32</v>
      </c>
      <c r="C11" s="22">
        <v>0.0</v>
      </c>
      <c r="D11" s="22">
        <v>0.0</v>
      </c>
      <c r="E11" s="22">
        <v>0.0</v>
      </c>
      <c r="F11" s="22">
        <v>0.0</v>
      </c>
      <c r="G11" s="22">
        <v>0.0</v>
      </c>
      <c r="H11" s="22">
        <v>0.0</v>
      </c>
      <c r="I11" s="22">
        <v>0.0</v>
      </c>
      <c r="J11" s="22">
        <v>0.0</v>
      </c>
      <c r="K11" s="22">
        <v>0.0</v>
      </c>
      <c r="L11" s="22">
        <v>0.0</v>
      </c>
      <c r="M11" s="22">
        <v>0.0</v>
      </c>
      <c r="N11" s="22">
        <v>0.0</v>
      </c>
      <c r="O11" s="22">
        <v>0.0</v>
      </c>
      <c r="P11" s="22">
        <v>0.0</v>
      </c>
      <c r="Q11" s="22">
        <v>0.0</v>
      </c>
      <c r="R11" s="22">
        <f t="shared" si="1"/>
        <v>0</v>
      </c>
      <c r="S11" s="2"/>
      <c r="T11" s="22" t="s">
        <v>33</v>
      </c>
      <c r="U11" s="22">
        <v>83209.32692307695</v>
      </c>
      <c r="V11" s="2"/>
      <c r="W11" s="2"/>
      <c r="X11" s="3"/>
    </row>
    <row r="12">
      <c r="B12" s="24" t="s">
        <v>34</v>
      </c>
      <c r="C12" s="24">
        <f t="shared" ref="C12:Q12" si="2">SUM(C7:C11)</f>
        <v>12095042.68</v>
      </c>
      <c r="D12" s="24">
        <f t="shared" si="2"/>
        <v>0</v>
      </c>
      <c r="E12" s="24">
        <f t="shared" si="2"/>
        <v>0</v>
      </c>
      <c r="F12" s="24">
        <f t="shared" si="2"/>
        <v>0</v>
      </c>
      <c r="G12" s="24">
        <f t="shared" si="2"/>
        <v>0</v>
      </c>
      <c r="H12" s="24">
        <f t="shared" si="2"/>
        <v>0</v>
      </c>
      <c r="I12" s="24">
        <f t="shared" si="2"/>
        <v>0</v>
      </c>
      <c r="J12" s="24">
        <f t="shared" si="2"/>
        <v>0</v>
      </c>
      <c r="K12" s="24">
        <f t="shared" si="2"/>
        <v>8063361.786</v>
      </c>
      <c r="L12" s="24">
        <f t="shared" si="2"/>
        <v>0</v>
      </c>
      <c r="M12" s="24">
        <f t="shared" si="2"/>
        <v>0</v>
      </c>
      <c r="N12" s="24">
        <f t="shared" si="2"/>
        <v>0</v>
      </c>
      <c r="O12" s="24">
        <f t="shared" si="2"/>
        <v>0</v>
      </c>
      <c r="P12" s="24">
        <f t="shared" si="2"/>
        <v>0</v>
      </c>
      <c r="Q12" s="24">
        <f t="shared" si="2"/>
        <v>0</v>
      </c>
      <c r="R12" s="24">
        <f t="shared" si="1"/>
        <v>20158404.47</v>
      </c>
      <c r="S12" s="2"/>
      <c r="T12" s="22" t="s">
        <v>35</v>
      </c>
      <c r="U12" s="22">
        <v>83209.32692307695</v>
      </c>
      <c r="V12" s="2"/>
      <c r="W12" s="2"/>
      <c r="X12" s="3"/>
    </row>
    <row r="13">
      <c r="B13" s="10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"/>
      <c r="T13" s="22" t="s">
        <v>37</v>
      </c>
      <c r="U13" s="22">
        <v>106507.93846153845</v>
      </c>
      <c r="V13" s="2"/>
      <c r="W13" s="2"/>
      <c r="X13" s="3"/>
    </row>
    <row r="14">
      <c r="B14" s="29" t="s">
        <v>38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9"/>
      <c r="S14" s="2"/>
      <c r="T14" s="22" t="s">
        <v>45</v>
      </c>
      <c r="U14" s="22">
        <v>9990.0</v>
      </c>
      <c r="V14" s="2"/>
      <c r="W14" s="2"/>
      <c r="X14" s="3"/>
    </row>
    <row r="15">
      <c r="B15" s="22" t="s">
        <v>46</v>
      </c>
      <c r="C15" s="22">
        <f t="shared" ref="C15:Q15" si="3">$U$8</f>
        <v>494871.6923</v>
      </c>
      <c r="D15" s="22">
        <f t="shared" si="3"/>
        <v>494871.6923</v>
      </c>
      <c r="E15" s="22">
        <f t="shared" si="3"/>
        <v>494871.6923</v>
      </c>
      <c r="F15" s="22">
        <f t="shared" si="3"/>
        <v>494871.6923</v>
      </c>
      <c r="G15" s="22">
        <f t="shared" si="3"/>
        <v>494871.6923</v>
      </c>
      <c r="H15" s="22">
        <f t="shared" si="3"/>
        <v>494871.6923</v>
      </c>
      <c r="I15" s="22">
        <f t="shared" si="3"/>
        <v>494871.6923</v>
      </c>
      <c r="J15" s="22">
        <f t="shared" si="3"/>
        <v>494871.6923</v>
      </c>
      <c r="K15" s="22">
        <f t="shared" si="3"/>
        <v>494871.6923</v>
      </c>
      <c r="L15" s="22">
        <f t="shared" si="3"/>
        <v>494871.6923</v>
      </c>
      <c r="M15" s="22">
        <f t="shared" si="3"/>
        <v>494871.6923</v>
      </c>
      <c r="N15" s="22">
        <f t="shared" si="3"/>
        <v>494871.6923</v>
      </c>
      <c r="O15" s="22">
        <f t="shared" si="3"/>
        <v>494871.6923</v>
      </c>
      <c r="P15" s="22">
        <f t="shared" si="3"/>
        <v>494871.6923</v>
      </c>
      <c r="Q15" s="22">
        <f t="shared" si="3"/>
        <v>494871.6923</v>
      </c>
      <c r="R15" s="22">
        <f t="shared" ref="R15:R25" si="5">SUM(C15:Q15)</f>
        <v>7423075.385</v>
      </c>
      <c r="S15" s="2"/>
      <c r="T15" s="22" t="s">
        <v>95</v>
      </c>
      <c r="U15" s="22">
        <v>0.0</v>
      </c>
      <c r="V15" s="2"/>
      <c r="W15" s="2"/>
      <c r="X15" s="3"/>
    </row>
    <row r="16">
      <c r="B16" s="22" t="s">
        <v>97</v>
      </c>
      <c r="C16" s="22">
        <f t="shared" ref="C16:Q16" si="4">$U$8</f>
        <v>494871.6923</v>
      </c>
      <c r="D16" s="22">
        <f t="shared" si="4"/>
        <v>494871.6923</v>
      </c>
      <c r="E16" s="22">
        <f t="shared" si="4"/>
        <v>494871.6923</v>
      </c>
      <c r="F16" s="22">
        <f t="shared" si="4"/>
        <v>494871.6923</v>
      </c>
      <c r="G16" s="22">
        <f t="shared" si="4"/>
        <v>494871.6923</v>
      </c>
      <c r="H16" s="22">
        <f t="shared" si="4"/>
        <v>494871.6923</v>
      </c>
      <c r="I16" s="22">
        <f t="shared" si="4"/>
        <v>494871.6923</v>
      </c>
      <c r="J16" s="22">
        <f t="shared" si="4"/>
        <v>494871.6923</v>
      </c>
      <c r="K16" s="22">
        <f t="shared" si="4"/>
        <v>494871.6923</v>
      </c>
      <c r="L16" s="22">
        <f t="shared" si="4"/>
        <v>494871.6923</v>
      </c>
      <c r="M16" s="22">
        <f t="shared" si="4"/>
        <v>494871.6923</v>
      </c>
      <c r="N16" s="22">
        <f t="shared" si="4"/>
        <v>494871.6923</v>
      </c>
      <c r="O16" s="22">
        <f t="shared" si="4"/>
        <v>494871.6923</v>
      </c>
      <c r="P16" s="22">
        <f t="shared" si="4"/>
        <v>494871.6923</v>
      </c>
      <c r="Q16" s="22">
        <f t="shared" si="4"/>
        <v>494871.6923</v>
      </c>
      <c r="R16" s="22">
        <f t="shared" si="5"/>
        <v>7423075.385</v>
      </c>
      <c r="S16" s="2"/>
      <c r="T16" s="22" t="s">
        <v>109</v>
      </c>
      <c r="U16" s="22">
        <f>U8*15*U6</f>
        <v>14846150.77</v>
      </c>
      <c r="V16" s="2"/>
      <c r="W16" s="2"/>
      <c r="X16" s="3"/>
    </row>
    <row r="17">
      <c r="B17" s="22" t="s">
        <v>114</v>
      </c>
      <c r="C17" s="22">
        <f>$U$10</f>
        <v>2399980</v>
      </c>
      <c r="D17" s="22">
        <v>0.0</v>
      </c>
      <c r="E17" s="22">
        <v>0.0</v>
      </c>
      <c r="F17" s="22">
        <v>0.0</v>
      </c>
      <c r="G17" s="22">
        <v>0.0</v>
      </c>
      <c r="H17" s="22">
        <v>0.0</v>
      </c>
      <c r="I17" s="22">
        <v>0.0</v>
      </c>
      <c r="J17" s="22">
        <v>0.0</v>
      </c>
      <c r="K17" s="22">
        <v>0.0</v>
      </c>
      <c r="L17" s="22">
        <v>0.0</v>
      </c>
      <c r="M17" s="22">
        <v>0.0</v>
      </c>
      <c r="N17" s="22">
        <v>0.0</v>
      </c>
      <c r="O17" s="22">
        <v>0.0</v>
      </c>
      <c r="P17" s="22">
        <v>0.0</v>
      </c>
      <c r="Q17" s="22">
        <v>0.0</v>
      </c>
      <c r="R17" s="22">
        <f t="shared" si="5"/>
        <v>2399980</v>
      </c>
      <c r="S17" s="2"/>
      <c r="T17" s="22" t="s">
        <v>115</v>
      </c>
      <c r="U17" s="22">
        <f>SUM(U10:U15)</f>
        <v>2682896.592</v>
      </c>
      <c r="V17" s="2"/>
      <c r="W17" s="2"/>
      <c r="X17" s="3"/>
    </row>
    <row r="18">
      <c r="B18" s="22" t="s">
        <v>116</v>
      </c>
      <c r="C18" s="22">
        <f t="shared" ref="C18:Q18" si="6">$U$11/15</f>
        <v>5547.288462</v>
      </c>
      <c r="D18" s="22">
        <f t="shared" si="6"/>
        <v>5547.288462</v>
      </c>
      <c r="E18" s="22">
        <f t="shared" si="6"/>
        <v>5547.288462</v>
      </c>
      <c r="F18" s="22">
        <f t="shared" si="6"/>
        <v>5547.288462</v>
      </c>
      <c r="G18" s="22">
        <f t="shared" si="6"/>
        <v>5547.288462</v>
      </c>
      <c r="H18" s="22">
        <f t="shared" si="6"/>
        <v>5547.288462</v>
      </c>
      <c r="I18" s="22">
        <f t="shared" si="6"/>
        <v>5547.288462</v>
      </c>
      <c r="J18" s="22">
        <f t="shared" si="6"/>
        <v>5547.288462</v>
      </c>
      <c r="K18" s="22">
        <f t="shared" si="6"/>
        <v>5547.288462</v>
      </c>
      <c r="L18" s="22">
        <f t="shared" si="6"/>
        <v>5547.288462</v>
      </c>
      <c r="M18" s="22">
        <f t="shared" si="6"/>
        <v>5547.288462</v>
      </c>
      <c r="N18" s="22">
        <f t="shared" si="6"/>
        <v>5547.288462</v>
      </c>
      <c r="O18" s="22">
        <f t="shared" si="6"/>
        <v>5547.288462</v>
      </c>
      <c r="P18" s="22">
        <f t="shared" si="6"/>
        <v>5547.288462</v>
      </c>
      <c r="Q18" s="22">
        <f t="shared" si="6"/>
        <v>5547.288462</v>
      </c>
      <c r="R18" s="22">
        <f t="shared" si="5"/>
        <v>83209.32692</v>
      </c>
      <c r="S18" s="2"/>
      <c r="T18" s="35" t="s">
        <v>117</v>
      </c>
      <c r="U18" s="35">
        <f>(U16+U17)*(1+U9)</f>
        <v>20158404.47</v>
      </c>
      <c r="V18" s="2"/>
      <c r="W18" s="2"/>
      <c r="X18" s="3"/>
    </row>
    <row r="19">
      <c r="B19" s="22" t="s">
        <v>118</v>
      </c>
      <c r="C19" s="22">
        <f t="shared" ref="C19:Q19" si="7">$U$12/15</f>
        <v>5547.288462</v>
      </c>
      <c r="D19" s="22">
        <f t="shared" si="7"/>
        <v>5547.288462</v>
      </c>
      <c r="E19" s="22">
        <f t="shared" si="7"/>
        <v>5547.288462</v>
      </c>
      <c r="F19" s="22">
        <f t="shared" si="7"/>
        <v>5547.288462</v>
      </c>
      <c r="G19" s="22">
        <f t="shared" si="7"/>
        <v>5547.288462</v>
      </c>
      <c r="H19" s="22">
        <f t="shared" si="7"/>
        <v>5547.288462</v>
      </c>
      <c r="I19" s="22">
        <f t="shared" si="7"/>
        <v>5547.288462</v>
      </c>
      <c r="J19" s="22">
        <f t="shared" si="7"/>
        <v>5547.288462</v>
      </c>
      <c r="K19" s="22">
        <f t="shared" si="7"/>
        <v>5547.288462</v>
      </c>
      <c r="L19" s="22">
        <f t="shared" si="7"/>
        <v>5547.288462</v>
      </c>
      <c r="M19" s="22">
        <f t="shared" si="7"/>
        <v>5547.288462</v>
      </c>
      <c r="N19" s="22">
        <f t="shared" si="7"/>
        <v>5547.288462</v>
      </c>
      <c r="O19" s="22">
        <f t="shared" si="7"/>
        <v>5547.288462</v>
      </c>
      <c r="P19" s="22">
        <f t="shared" si="7"/>
        <v>5547.288462</v>
      </c>
      <c r="Q19" s="22">
        <f t="shared" si="7"/>
        <v>5547.288462</v>
      </c>
      <c r="R19" s="22">
        <f t="shared" si="5"/>
        <v>83209.32692</v>
      </c>
      <c r="S19" s="2"/>
      <c r="T19" s="35" t="s">
        <v>119</v>
      </c>
      <c r="U19" s="35">
        <f>U18</f>
        <v>20158404.47</v>
      </c>
      <c r="V19" s="2"/>
      <c r="W19" s="2"/>
      <c r="X19" s="3"/>
    </row>
    <row r="20">
      <c r="B20" s="22" t="s">
        <v>120</v>
      </c>
      <c r="C20" s="22">
        <f t="shared" ref="C20:Q20" si="8">$U$13/15</f>
        <v>7100.529231</v>
      </c>
      <c r="D20" s="22">
        <f t="shared" si="8"/>
        <v>7100.529231</v>
      </c>
      <c r="E20" s="22">
        <f t="shared" si="8"/>
        <v>7100.529231</v>
      </c>
      <c r="F20" s="22">
        <f t="shared" si="8"/>
        <v>7100.529231</v>
      </c>
      <c r="G20" s="22">
        <f t="shared" si="8"/>
        <v>7100.529231</v>
      </c>
      <c r="H20" s="22">
        <f t="shared" si="8"/>
        <v>7100.529231</v>
      </c>
      <c r="I20" s="22">
        <f t="shared" si="8"/>
        <v>7100.529231</v>
      </c>
      <c r="J20" s="22">
        <f t="shared" si="8"/>
        <v>7100.529231</v>
      </c>
      <c r="K20" s="22">
        <f t="shared" si="8"/>
        <v>7100.529231</v>
      </c>
      <c r="L20" s="22">
        <f t="shared" si="8"/>
        <v>7100.529231</v>
      </c>
      <c r="M20" s="22">
        <f t="shared" si="8"/>
        <v>7100.529231</v>
      </c>
      <c r="N20" s="22">
        <f t="shared" si="8"/>
        <v>7100.529231</v>
      </c>
      <c r="O20" s="22">
        <f t="shared" si="8"/>
        <v>7100.529231</v>
      </c>
      <c r="P20" s="22">
        <f t="shared" si="8"/>
        <v>7100.529231</v>
      </c>
      <c r="Q20" s="22">
        <f t="shared" si="8"/>
        <v>7100.529231</v>
      </c>
      <c r="R20" s="22">
        <f t="shared" si="5"/>
        <v>106507.9385</v>
      </c>
      <c r="S20" s="2"/>
      <c r="T20" s="2"/>
      <c r="U20" s="37"/>
      <c r="V20" s="2"/>
      <c r="W20" s="2"/>
      <c r="X20" s="3"/>
    </row>
    <row r="21" ht="15.75" customHeight="1">
      <c r="B21" s="22" t="s">
        <v>45</v>
      </c>
      <c r="C21" s="22">
        <f>$U$14</f>
        <v>9990</v>
      </c>
      <c r="D21" s="22">
        <v>0.0</v>
      </c>
      <c r="E21" s="22">
        <v>0.0</v>
      </c>
      <c r="F21" s="22">
        <v>0.0</v>
      </c>
      <c r="G21" s="22">
        <v>0.0</v>
      </c>
      <c r="H21" s="22">
        <v>0.0</v>
      </c>
      <c r="I21" s="22">
        <v>0.0</v>
      </c>
      <c r="J21" s="22">
        <v>0.0</v>
      </c>
      <c r="K21" s="22">
        <v>0.0</v>
      </c>
      <c r="L21" s="22">
        <v>0.0</v>
      </c>
      <c r="M21" s="22">
        <v>0.0</v>
      </c>
      <c r="N21" s="22">
        <v>0.0</v>
      </c>
      <c r="O21" s="22">
        <v>0.0</v>
      </c>
      <c r="P21" s="22">
        <v>0.0</v>
      </c>
      <c r="Q21" s="22">
        <v>0.0</v>
      </c>
      <c r="R21" s="22">
        <f t="shared" si="5"/>
        <v>9990</v>
      </c>
      <c r="S21" s="2"/>
      <c r="T21" s="11" t="s">
        <v>121</v>
      </c>
      <c r="U21" s="9"/>
      <c r="V21" s="2"/>
      <c r="W21" s="2"/>
      <c r="X21" s="3"/>
    </row>
    <row r="22" ht="15.75" customHeight="1">
      <c r="B22" s="22" t="s">
        <v>122</v>
      </c>
      <c r="C22" s="22">
        <f t="shared" ref="C22:Q22" si="9">$U$15/15</f>
        <v>0</v>
      </c>
      <c r="D22" s="22">
        <f t="shared" si="9"/>
        <v>0</v>
      </c>
      <c r="E22" s="22">
        <f t="shared" si="9"/>
        <v>0</v>
      </c>
      <c r="F22" s="22">
        <f t="shared" si="9"/>
        <v>0</v>
      </c>
      <c r="G22" s="22">
        <f t="shared" si="9"/>
        <v>0</v>
      </c>
      <c r="H22" s="22">
        <f t="shared" si="9"/>
        <v>0</v>
      </c>
      <c r="I22" s="22">
        <f t="shared" si="9"/>
        <v>0</v>
      </c>
      <c r="J22" s="22">
        <f t="shared" si="9"/>
        <v>0</v>
      </c>
      <c r="K22" s="22">
        <f t="shared" si="9"/>
        <v>0</v>
      </c>
      <c r="L22" s="22">
        <f t="shared" si="9"/>
        <v>0</v>
      </c>
      <c r="M22" s="22">
        <f t="shared" si="9"/>
        <v>0</v>
      </c>
      <c r="N22" s="22">
        <f t="shared" si="9"/>
        <v>0</v>
      </c>
      <c r="O22" s="22">
        <f t="shared" si="9"/>
        <v>0</v>
      </c>
      <c r="P22" s="22">
        <f t="shared" si="9"/>
        <v>0</v>
      </c>
      <c r="Q22" s="22">
        <f t="shared" si="9"/>
        <v>0</v>
      </c>
      <c r="R22" s="22">
        <f t="shared" si="5"/>
        <v>0</v>
      </c>
      <c r="S22" s="2"/>
      <c r="T22" s="22" t="s">
        <v>123</v>
      </c>
      <c r="U22" s="22">
        <f>R12</f>
        <v>20158404.47</v>
      </c>
      <c r="V22" s="2"/>
      <c r="W22" s="2"/>
      <c r="X22" s="3"/>
    </row>
    <row r="23" ht="15.75" customHeight="1">
      <c r="B23" s="38" t="s">
        <v>124</v>
      </c>
      <c r="C23" s="38">
        <f t="shared" ref="C23:Q23" si="10">SUM(C15:C22)</f>
        <v>3417908.491</v>
      </c>
      <c r="D23" s="38">
        <f t="shared" si="10"/>
        <v>1007938.491</v>
      </c>
      <c r="E23" s="38">
        <f t="shared" si="10"/>
        <v>1007938.491</v>
      </c>
      <c r="F23" s="38">
        <f t="shared" si="10"/>
        <v>1007938.491</v>
      </c>
      <c r="G23" s="38">
        <f t="shared" si="10"/>
        <v>1007938.491</v>
      </c>
      <c r="H23" s="38">
        <f t="shared" si="10"/>
        <v>1007938.491</v>
      </c>
      <c r="I23" s="38">
        <f t="shared" si="10"/>
        <v>1007938.491</v>
      </c>
      <c r="J23" s="38">
        <f t="shared" si="10"/>
        <v>1007938.491</v>
      </c>
      <c r="K23" s="38">
        <f t="shared" si="10"/>
        <v>1007938.491</v>
      </c>
      <c r="L23" s="38">
        <f t="shared" si="10"/>
        <v>1007938.491</v>
      </c>
      <c r="M23" s="38">
        <f t="shared" si="10"/>
        <v>1007938.491</v>
      </c>
      <c r="N23" s="38">
        <f t="shared" si="10"/>
        <v>1007938.491</v>
      </c>
      <c r="O23" s="38">
        <f t="shared" si="10"/>
        <v>1007938.491</v>
      </c>
      <c r="P23" s="38">
        <f t="shared" si="10"/>
        <v>1007938.491</v>
      </c>
      <c r="Q23" s="38">
        <f t="shared" si="10"/>
        <v>1007938.491</v>
      </c>
      <c r="R23" s="38">
        <f t="shared" si="5"/>
        <v>17529047.36</v>
      </c>
      <c r="S23" s="2"/>
      <c r="T23" s="22" t="s">
        <v>125</v>
      </c>
      <c r="U23" s="22">
        <f>R25</f>
        <v>20158404.47</v>
      </c>
      <c r="V23" s="2"/>
      <c r="W23" s="2"/>
      <c r="X23" s="3"/>
    </row>
    <row r="24" ht="15.75" customHeight="1">
      <c r="B24" s="38" t="s">
        <v>126</v>
      </c>
      <c r="C24" s="38">
        <f t="shared" ref="C24:Q24" si="11">C23*$U$9</f>
        <v>512686.2736</v>
      </c>
      <c r="D24" s="38">
        <f t="shared" si="11"/>
        <v>151190.7736</v>
      </c>
      <c r="E24" s="38">
        <f t="shared" si="11"/>
        <v>151190.7736</v>
      </c>
      <c r="F24" s="38">
        <f t="shared" si="11"/>
        <v>151190.7736</v>
      </c>
      <c r="G24" s="38">
        <f t="shared" si="11"/>
        <v>151190.7736</v>
      </c>
      <c r="H24" s="38">
        <f t="shared" si="11"/>
        <v>151190.7736</v>
      </c>
      <c r="I24" s="38">
        <f t="shared" si="11"/>
        <v>151190.7736</v>
      </c>
      <c r="J24" s="38">
        <f t="shared" si="11"/>
        <v>151190.7736</v>
      </c>
      <c r="K24" s="38">
        <f t="shared" si="11"/>
        <v>151190.7736</v>
      </c>
      <c r="L24" s="38">
        <f t="shared" si="11"/>
        <v>151190.7736</v>
      </c>
      <c r="M24" s="38">
        <f t="shared" si="11"/>
        <v>151190.7736</v>
      </c>
      <c r="N24" s="38">
        <f t="shared" si="11"/>
        <v>151190.7736</v>
      </c>
      <c r="O24" s="38">
        <f t="shared" si="11"/>
        <v>151190.7736</v>
      </c>
      <c r="P24" s="38">
        <f t="shared" si="11"/>
        <v>151190.7736</v>
      </c>
      <c r="Q24" s="38">
        <f t="shared" si="11"/>
        <v>151190.7736</v>
      </c>
      <c r="R24" s="38">
        <f t="shared" si="5"/>
        <v>2629357.104</v>
      </c>
      <c r="S24" s="2"/>
      <c r="T24" s="22" t="s">
        <v>127</v>
      </c>
      <c r="U24" s="22">
        <f>R27</f>
        <v>0.000000001396983862</v>
      </c>
      <c r="V24" s="2"/>
      <c r="W24" s="2"/>
      <c r="X24" s="3"/>
    </row>
    <row r="25" ht="15.75" customHeight="1">
      <c r="B25" s="35" t="s">
        <v>128</v>
      </c>
      <c r="C25" s="35">
        <f t="shared" ref="C25:Q25" si="12">C23+C24</f>
        <v>3930594.764</v>
      </c>
      <c r="D25" s="35">
        <f t="shared" si="12"/>
        <v>1159129.264</v>
      </c>
      <c r="E25" s="35">
        <f t="shared" si="12"/>
        <v>1159129.264</v>
      </c>
      <c r="F25" s="35">
        <f t="shared" si="12"/>
        <v>1159129.264</v>
      </c>
      <c r="G25" s="35">
        <f t="shared" si="12"/>
        <v>1159129.264</v>
      </c>
      <c r="H25" s="35">
        <f t="shared" si="12"/>
        <v>1159129.264</v>
      </c>
      <c r="I25" s="35">
        <f t="shared" si="12"/>
        <v>1159129.264</v>
      </c>
      <c r="J25" s="35">
        <f t="shared" si="12"/>
        <v>1159129.264</v>
      </c>
      <c r="K25" s="35">
        <f t="shared" si="12"/>
        <v>1159129.264</v>
      </c>
      <c r="L25" s="35">
        <f t="shared" si="12"/>
        <v>1159129.264</v>
      </c>
      <c r="M25" s="35">
        <f t="shared" si="12"/>
        <v>1159129.264</v>
      </c>
      <c r="N25" s="35">
        <f t="shared" si="12"/>
        <v>1159129.264</v>
      </c>
      <c r="O25" s="35">
        <f t="shared" si="12"/>
        <v>1159129.264</v>
      </c>
      <c r="P25" s="35">
        <f t="shared" si="12"/>
        <v>1159129.264</v>
      </c>
      <c r="Q25" s="35">
        <f t="shared" si="12"/>
        <v>1159129.264</v>
      </c>
      <c r="R25" s="35">
        <f t="shared" si="5"/>
        <v>20158404.47</v>
      </c>
      <c r="S25" s="2"/>
      <c r="T25" s="22" t="s">
        <v>109</v>
      </c>
      <c r="U25" s="22">
        <f t="shared" ref="U25:U26" si="13">U16</f>
        <v>14846150.77</v>
      </c>
      <c r="V25" s="2"/>
      <c r="W25" s="2"/>
      <c r="X25" s="3"/>
    </row>
    <row r="26" ht="15.75" customHeight="1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2"/>
      <c r="T26" s="22" t="s">
        <v>140</v>
      </c>
      <c r="U26" s="22">
        <f t="shared" si="13"/>
        <v>2682896.592</v>
      </c>
      <c r="V26" s="2"/>
      <c r="W26" s="2"/>
      <c r="X26" s="3"/>
    </row>
    <row r="27" ht="15.75" customHeight="1">
      <c r="B27" s="24" t="s">
        <v>142</v>
      </c>
      <c r="C27" s="24">
        <f t="shared" ref="C27:Q27" si="14">C12-C25</f>
        <v>8164447.915</v>
      </c>
      <c r="D27" s="24">
        <f t="shared" si="14"/>
        <v>-1159129.264</v>
      </c>
      <c r="E27" s="24">
        <f t="shared" si="14"/>
        <v>-1159129.264</v>
      </c>
      <c r="F27" s="24">
        <f t="shared" si="14"/>
        <v>-1159129.264</v>
      </c>
      <c r="G27" s="24">
        <f t="shared" si="14"/>
        <v>-1159129.264</v>
      </c>
      <c r="H27" s="24">
        <f t="shared" si="14"/>
        <v>-1159129.264</v>
      </c>
      <c r="I27" s="24">
        <f t="shared" si="14"/>
        <v>-1159129.264</v>
      </c>
      <c r="J27" s="24">
        <f t="shared" si="14"/>
        <v>-1159129.264</v>
      </c>
      <c r="K27" s="24">
        <f t="shared" si="14"/>
        <v>6904232.522</v>
      </c>
      <c r="L27" s="24">
        <f t="shared" si="14"/>
        <v>-1159129.264</v>
      </c>
      <c r="M27" s="24">
        <f t="shared" si="14"/>
        <v>-1159129.264</v>
      </c>
      <c r="N27" s="24">
        <f t="shared" si="14"/>
        <v>-1159129.264</v>
      </c>
      <c r="O27" s="24">
        <f t="shared" si="14"/>
        <v>-1159129.264</v>
      </c>
      <c r="P27" s="24">
        <f t="shared" si="14"/>
        <v>-1159129.264</v>
      </c>
      <c r="Q27" s="24">
        <f t="shared" si="14"/>
        <v>-1159129.264</v>
      </c>
      <c r="R27" s="24">
        <f>SUM(C27:Q27)</f>
        <v>0.000000001396983862</v>
      </c>
      <c r="S27" s="2"/>
      <c r="T27" s="22" t="s">
        <v>149</v>
      </c>
      <c r="U27" s="22">
        <f>R24</f>
        <v>2629357.104</v>
      </c>
      <c r="V27" s="2"/>
      <c r="W27" s="2"/>
      <c r="X27" s="3"/>
    </row>
    <row r="28" ht="15.75" customHeight="1">
      <c r="B28" s="24" t="s">
        <v>150</v>
      </c>
      <c r="C28" s="24">
        <f>C27</f>
        <v>8164447.915</v>
      </c>
      <c r="D28" s="24">
        <f t="shared" ref="D28:Q28" si="15">C28+D27</f>
        <v>7005318.651</v>
      </c>
      <c r="E28" s="24">
        <f t="shared" si="15"/>
        <v>5846189.386</v>
      </c>
      <c r="F28" s="24">
        <f t="shared" si="15"/>
        <v>4687060.122</v>
      </c>
      <c r="G28" s="24">
        <f t="shared" si="15"/>
        <v>3527930.858</v>
      </c>
      <c r="H28" s="24">
        <f t="shared" si="15"/>
        <v>2368801.593</v>
      </c>
      <c r="I28" s="24">
        <f t="shared" si="15"/>
        <v>1209672.329</v>
      </c>
      <c r="J28" s="24">
        <f t="shared" si="15"/>
        <v>50543.06438</v>
      </c>
      <c r="K28" s="24">
        <f t="shared" si="15"/>
        <v>6954775.586</v>
      </c>
      <c r="L28" s="24">
        <f t="shared" si="15"/>
        <v>5795646.322</v>
      </c>
      <c r="M28" s="24">
        <f t="shared" si="15"/>
        <v>4636517.058</v>
      </c>
      <c r="N28" s="24">
        <f t="shared" si="15"/>
        <v>3477387.793</v>
      </c>
      <c r="O28" s="24">
        <f t="shared" si="15"/>
        <v>2318258.529</v>
      </c>
      <c r="P28" s="24">
        <f t="shared" si="15"/>
        <v>1159129.264</v>
      </c>
      <c r="Q28" s="24">
        <f t="shared" si="15"/>
        <v>0.000000001396983862</v>
      </c>
      <c r="R28" s="24">
        <f>Q28</f>
        <v>0.000000001396983862</v>
      </c>
      <c r="S28" s="2"/>
      <c r="T28" s="2"/>
      <c r="U28" s="2"/>
      <c r="V28" s="2"/>
      <c r="W28" s="2"/>
      <c r="X28" s="3"/>
    </row>
    <row r="29" ht="15.75" customHeight="1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11" t="s">
        <v>167</v>
      </c>
      <c r="U29" s="8"/>
      <c r="V29" s="8"/>
      <c r="W29" s="8"/>
      <c r="X29" s="9"/>
    </row>
    <row r="30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58" t="s">
        <v>172</v>
      </c>
      <c r="U30" s="58" t="s">
        <v>173</v>
      </c>
      <c r="V30" s="58" t="s">
        <v>174</v>
      </c>
      <c r="W30" s="58" t="s">
        <v>175</v>
      </c>
      <c r="X30" s="58" t="s">
        <v>42</v>
      </c>
    </row>
    <row r="31" ht="15.75" customHeight="1">
      <c r="B31" s="59" t="s">
        <v>176</v>
      </c>
      <c r="C31" s="15" t="s">
        <v>31</v>
      </c>
      <c r="D31" s="22">
        <f>$U$10</f>
        <v>2399980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15" t="s">
        <v>177</v>
      </c>
      <c r="U31" s="15" t="s">
        <v>178</v>
      </c>
      <c r="V31" s="22">
        <v>2144444.0</v>
      </c>
      <c r="W31" s="22">
        <f t="shared" ref="W31:W32" si="16">V31/160</f>
        <v>13402.775</v>
      </c>
      <c r="X31" s="61" t="s">
        <v>57</v>
      </c>
    </row>
    <row r="32" ht="15.75" customHeight="1">
      <c r="B32" s="62"/>
      <c r="C32" s="15" t="s">
        <v>116</v>
      </c>
      <c r="D32" s="22">
        <f>$U$11</f>
        <v>83209.32692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15" t="s">
        <v>179</v>
      </c>
      <c r="U32" s="15" t="s">
        <v>180</v>
      </c>
      <c r="V32" s="22">
        <v>2144444.0</v>
      </c>
      <c r="W32" s="22">
        <f t="shared" si="16"/>
        <v>13402.775</v>
      </c>
      <c r="X32" s="61" t="s">
        <v>57</v>
      </c>
    </row>
    <row r="33" ht="15.75" customHeight="1">
      <c r="B33" s="62"/>
      <c r="C33" s="15" t="s">
        <v>118</v>
      </c>
      <c r="D33" s="22">
        <f>$U$12</f>
        <v>83209.32692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3"/>
    </row>
    <row r="34" ht="15.75" customHeight="1">
      <c r="B34" s="62"/>
      <c r="C34" s="15" t="s">
        <v>120</v>
      </c>
      <c r="D34" s="22">
        <f>$U$13</f>
        <v>106507.9385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11" t="s">
        <v>181</v>
      </c>
      <c r="U34" s="9"/>
      <c r="V34" s="2"/>
      <c r="W34" s="2"/>
      <c r="X34" s="3"/>
    </row>
    <row r="35" ht="15.75" customHeight="1">
      <c r="B35" s="62"/>
      <c r="C35" s="15" t="s">
        <v>45</v>
      </c>
      <c r="D35" s="22">
        <f>$U$14</f>
        <v>9990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15" t="s">
        <v>31</v>
      </c>
      <c r="U35" s="22">
        <v>2399980.0</v>
      </c>
      <c r="V35" s="2"/>
      <c r="W35" s="2"/>
      <c r="X35" s="3"/>
    </row>
    <row r="36" ht="15.75" customHeight="1">
      <c r="B36" s="62"/>
      <c r="C36" s="15" t="s">
        <v>95</v>
      </c>
      <c r="D36" s="22">
        <f>$U$15</f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15" t="s">
        <v>78</v>
      </c>
      <c r="U36" s="22">
        <v>83209.32692307695</v>
      </c>
      <c r="V36" s="2"/>
      <c r="W36" s="2"/>
      <c r="X36" s="3"/>
    </row>
    <row r="37" ht="15.75" customHeight="1">
      <c r="B37" s="62"/>
      <c r="C37" s="15" t="s">
        <v>126</v>
      </c>
      <c r="D37" s="22">
        <f>$R$24</f>
        <v>2629357.104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15" t="s">
        <v>83</v>
      </c>
      <c r="U37" s="22">
        <v>83209.32692307695</v>
      </c>
      <c r="V37" s="2"/>
      <c r="W37" s="2"/>
      <c r="X37" s="3"/>
    </row>
    <row r="38" ht="15.75" customHeight="1">
      <c r="B38" s="64"/>
      <c r="C38" s="47" t="s">
        <v>182</v>
      </c>
      <c r="D38" s="24">
        <f>SUM(D31:D37)</f>
        <v>5312253.697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15" t="s">
        <v>88</v>
      </c>
      <c r="U38" s="22">
        <v>106507.93846153845</v>
      </c>
      <c r="V38" s="2"/>
      <c r="W38" s="2"/>
      <c r="X38" s="3"/>
    </row>
    <row r="39" ht="15.75" customHeight="1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15" t="s">
        <v>45</v>
      </c>
      <c r="U39" s="22">
        <v>9990.0</v>
      </c>
      <c r="V39" s="2"/>
      <c r="W39" s="2"/>
      <c r="X39" s="3"/>
    </row>
    <row r="40" ht="15.75" customHeight="1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15" t="s">
        <v>95</v>
      </c>
      <c r="U40" s="46">
        <v>0.0</v>
      </c>
      <c r="V40" s="2"/>
      <c r="W40" s="2"/>
      <c r="X40" s="3"/>
    </row>
    <row r="41" ht="15.75" customHeight="1">
      <c r="B41" s="2" t="s">
        <v>183</v>
      </c>
      <c r="C41" s="2" t="s">
        <v>184</v>
      </c>
      <c r="S41" s="2"/>
      <c r="T41" s="2"/>
      <c r="U41" s="2"/>
      <c r="V41" s="2"/>
      <c r="W41" s="2"/>
      <c r="X41" s="3"/>
    </row>
    <row r="42">
      <c r="B42" s="2" t="s">
        <v>185</v>
      </c>
      <c r="C42" s="2" t="s">
        <v>186</v>
      </c>
      <c r="S42" s="2"/>
      <c r="T42" s="2"/>
      <c r="U42" s="2"/>
      <c r="V42" s="2"/>
      <c r="W42" s="2"/>
      <c r="X42" s="68"/>
    </row>
    <row r="43" ht="15.75" customHeight="1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68"/>
    </row>
    <row r="44" ht="15.75" customHeight="1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67" t="s">
        <v>187</v>
      </c>
      <c r="V44" s="8"/>
      <c r="W44" s="9"/>
      <c r="X44" s="68"/>
    </row>
    <row r="45" ht="15.75" customHeight="1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69" t="s">
        <v>188</v>
      </c>
      <c r="V45" s="69" t="s">
        <v>189</v>
      </c>
      <c r="W45" s="69" t="s">
        <v>190</v>
      </c>
      <c r="X45" s="3"/>
    </row>
    <row r="46" ht="15.75" customHeight="1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15" t="s">
        <v>6</v>
      </c>
      <c r="V46" s="71">
        <v>0.6</v>
      </c>
      <c r="W46" s="15" t="s">
        <v>191</v>
      </c>
      <c r="X46" s="6"/>
    </row>
    <row r="47" ht="15.75" customHeight="1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15" t="s">
        <v>14</v>
      </c>
      <c r="V47" s="71">
        <v>0.4</v>
      </c>
      <c r="W47" s="15" t="s">
        <v>193</v>
      </c>
      <c r="X47" s="6"/>
    </row>
    <row r="48" ht="15.75" customHeight="1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81"/>
      <c r="V48" s="82"/>
      <c r="W48" s="83"/>
      <c r="X48" s="6"/>
    </row>
    <row r="49" ht="15.75" customHeight="1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85"/>
      <c r="V49" s="86"/>
      <c r="W49" s="87"/>
      <c r="X49" s="6"/>
    </row>
    <row r="50" ht="15.75" customHeight="1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</row>
    <row r="51" ht="15.75" customHeight="1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</row>
    <row r="52" ht="25.5" customHeight="1">
      <c r="B52" s="72" t="s">
        <v>192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9"/>
      <c r="O52" s="6"/>
      <c r="P52" s="6"/>
      <c r="Q52" s="6"/>
      <c r="R52" s="6"/>
      <c r="S52" s="6"/>
      <c r="T52" s="6"/>
      <c r="U52" s="90" t="s">
        <v>210</v>
      </c>
      <c r="V52" s="8"/>
      <c r="W52" s="9"/>
      <c r="X52" s="6"/>
    </row>
    <row r="53" ht="15.75" customHeight="1">
      <c r="B53" s="69" t="s">
        <v>5</v>
      </c>
      <c r="C53" s="69" t="s">
        <v>194</v>
      </c>
      <c r="D53" s="69" t="s">
        <v>195</v>
      </c>
      <c r="E53" s="69" t="s">
        <v>196</v>
      </c>
      <c r="F53" s="69" t="s">
        <v>197</v>
      </c>
      <c r="G53" s="69" t="s">
        <v>198</v>
      </c>
      <c r="H53" s="69" t="s">
        <v>199</v>
      </c>
      <c r="I53" s="69" t="s">
        <v>200</v>
      </c>
      <c r="J53" s="69" t="s">
        <v>201</v>
      </c>
      <c r="K53" s="69" t="s">
        <v>202</v>
      </c>
      <c r="L53" s="69" t="s">
        <v>203</v>
      </c>
      <c r="M53" s="69" t="s">
        <v>204</v>
      </c>
      <c r="N53" s="69" t="s">
        <v>205</v>
      </c>
      <c r="O53" s="6"/>
      <c r="P53" s="6"/>
      <c r="Q53" s="6"/>
      <c r="R53" s="6"/>
      <c r="S53" s="6"/>
      <c r="T53" s="6"/>
      <c r="U53" s="69" t="s">
        <v>211</v>
      </c>
      <c r="V53" s="69" t="s">
        <v>153</v>
      </c>
      <c r="W53" s="69" t="s">
        <v>212</v>
      </c>
      <c r="X53" s="6"/>
    </row>
    <row r="54" ht="15.75" customHeight="1">
      <c r="B54" s="15" t="s">
        <v>155</v>
      </c>
      <c r="C54" s="22">
        <f>$V$55</f>
        <v>2500000</v>
      </c>
      <c r="D54" s="22">
        <v>0.0</v>
      </c>
      <c r="E54" s="22">
        <v>0.0</v>
      </c>
      <c r="F54" s="22">
        <v>0.0</v>
      </c>
      <c r="G54" s="22">
        <v>0.0</v>
      </c>
      <c r="H54" s="22">
        <v>0.0</v>
      </c>
      <c r="I54" s="22">
        <v>0.0</v>
      </c>
      <c r="J54" s="22">
        <v>0.0</v>
      </c>
      <c r="K54" s="22">
        <v>0.0</v>
      </c>
      <c r="L54" s="22">
        <v>0.0</v>
      </c>
      <c r="M54" s="22">
        <v>0.0</v>
      </c>
      <c r="N54" s="22">
        <v>0.0</v>
      </c>
      <c r="O54" s="6"/>
      <c r="P54" s="6"/>
      <c r="Q54" s="6"/>
      <c r="R54" s="6"/>
      <c r="S54" s="6"/>
      <c r="T54" s="6"/>
      <c r="U54" s="15" t="s">
        <v>214</v>
      </c>
      <c r="V54" s="15">
        <v>1.0</v>
      </c>
      <c r="W54" s="15" t="s">
        <v>215</v>
      </c>
      <c r="X54" s="6"/>
    </row>
    <row r="55" ht="15.75" customHeight="1">
      <c r="B55" s="15" t="s">
        <v>157</v>
      </c>
      <c r="C55" s="22">
        <f t="shared" ref="C55:N55" si="17">$V$56*$V$57</f>
        <v>399500</v>
      </c>
      <c r="D55" s="22">
        <f t="shared" si="17"/>
        <v>399500</v>
      </c>
      <c r="E55" s="22">
        <f t="shared" si="17"/>
        <v>399500</v>
      </c>
      <c r="F55" s="22">
        <f t="shared" si="17"/>
        <v>399500</v>
      </c>
      <c r="G55" s="22">
        <f t="shared" si="17"/>
        <v>399500</v>
      </c>
      <c r="H55" s="22">
        <f t="shared" si="17"/>
        <v>399500</v>
      </c>
      <c r="I55" s="22">
        <f t="shared" si="17"/>
        <v>399500</v>
      </c>
      <c r="J55" s="22">
        <f t="shared" si="17"/>
        <v>399500</v>
      </c>
      <c r="K55" s="22">
        <f t="shared" si="17"/>
        <v>399500</v>
      </c>
      <c r="L55" s="22">
        <f t="shared" si="17"/>
        <v>399500</v>
      </c>
      <c r="M55" s="22">
        <f t="shared" si="17"/>
        <v>399500</v>
      </c>
      <c r="N55" s="22">
        <f t="shared" si="17"/>
        <v>399500</v>
      </c>
      <c r="O55" s="6"/>
      <c r="P55" s="6"/>
      <c r="Q55" s="6"/>
      <c r="R55" s="6"/>
      <c r="S55" s="6"/>
      <c r="T55" s="6"/>
      <c r="U55" s="15" t="s">
        <v>155</v>
      </c>
      <c r="V55" s="22">
        <v>2500000.0</v>
      </c>
      <c r="W55" s="15" t="s">
        <v>220</v>
      </c>
      <c r="X55" s="6"/>
    </row>
    <row r="56" ht="15.75" customHeight="1">
      <c r="B56" s="80" t="s">
        <v>222</v>
      </c>
      <c r="C56" s="84">
        <f t="shared" ref="C56:N56" si="18">$V$58*$V$59</f>
        <v>199900</v>
      </c>
      <c r="D56" s="84">
        <f t="shared" si="18"/>
        <v>199900</v>
      </c>
      <c r="E56" s="84">
        <f t="shared" si="18"/>
        <v>199900</v>
      </c>
      <c r="F56" s="84">
        <f t="shared" si="18"/>
        <v>199900</v>
      </c>
      <c r="G56" s="84">
        <f t="shared" si="18"/>
        <v>199900</v>
      </c>
      <c r="H56" s="84">
        <f t="shared" si="18"/>
        <v>199900</v>
      </c>
      <c r="I56" s="84">
        <f t="shared" si="18"/>
        <v>199900</v>
      </c>
      <c r="J56" s="84">
        <f t="shared" si="18"/>
        <v>199900</v>
      </c>
      <c r="K56" s="84">
        <f t="shared" si="18"/>
        <v>199900</v>
      </c>
      <c r="L56" s="84">
        <f t="shared" si="18"/>
        <v>199900</v>
      </c>
      <c r="M56" s="84">
        <f t="shared" si="18"/>
        <v>199900</v>
      </c>
      <c r="N56" s="84">
        <f t="shared" si="18"/>
        <v>199900</v>
      </c>
      <c r="O56" s="6"/>
      <c r="P56" s="6"/>
      <c r="Q56" s="6"/>
      <c r="R56" s="6"/>
      <c r="S56" s="6"/>
      <c r="T56" s="6"/>
      <c r="U56" s="15" t="s">
        <v>234</v>
      </c>
      <c r="V56" s="22">
        <v>7990.0</v>
      </c>
      <c r="W56" s="15" t="s">
        <v>235</v>
      </c>
      <c r="X56" s="6"/>
    </row>
    <row r="57" ht="15.75" customHeight="1">
      <c r="B57" s="80" t="s">
        <v>236</v>
      </c>
      <c r="C57" s="84">
        <f t="shared" ref="C57:N57" si="19">$V$61*$V$60*$V$62</f>
        <v>280000</v>
      </c>
      <c r="D57" s="84">
        <f t="shared" si="19"/>
        <v>280000</v>
      </c>
      <c r="E57" s="84">
        <f t="shared" si="19"/>
        <v>280000</v>
      </c>
      <c r="F57" s="84">
        <f t="shared" si="19"/>
        <v>280000</v>
      </c>
      <c r="G57" s="84">
        <f t="shared" si="19"/>
        <v>280000</v>
      </c>
      <c r="H57" s="84">
        <f t="shared" si="19"/>
        <v>280000</v>
      </c>
      <c r="I57" s="84">
        <f t="shared" si="19"/>
        <v>280000</v>
      </c>
      <c r="J57" s="84">
        <f t="shared" si="19"/>
        <v>280000</v>
      </c>
      <c r="K57" s="84">
        <f t="shared" si="19"/>
        <v>280000</v>
      </c>
      <c r="L57" s="84">
        <f t="shared" si="19"/>
        <v>280000</v>
      </c>
      <c r="M57" s="84">
        <f t="shared" si="19"/>
        <v>280000</v>
      </c>
      <c r="N57" s="84">
        <f t="shared" si="19"/>
        <v>280000</v>
      </c>
      <c r="O57" s="6"/>
      <c r="P57" s="6"/>
      <c r="Q57" s="6"/>
      <c r="R57" s="6"/>
      <c r="S57" s="6"/>
      <c r="T57" s="6"/>
      <c r="U57" s="15" t="s">
        <v>237</v>
      </c>
      <c r="V57" s="22">
        <v>50.0</v>
      </c>
      <c r="W57" s="15" t="s">
        <v>238</v>
      </c>
      <c r="X57" s="6"/>
    </row>
    <row r="58" ht="15.75" customHeight="1">
      <c r="B58" s="102" t="s">
        <v>239</v>
      </c>
      <c r="C58" s="103">
        <f t="shared" ref="C58:N58" si="20">$V$63</f>
        <v>250000</v>
      </c>
      <c r="D58" s="103">
        <f t="shared" si="20"/>
        <v>250000</v>
      </c>
      <c r="E58" s="103">
        <f t="shared" si="20"/>
        <v>250000</v>
      </c>
      <c r="F58" s="103">
        <f t="shared" si="20"/>
        <v>250000</v>
      </c>
      <c r="G58" s="103">
        <f t="shared" si="20"/>
        <v>250000</v>
      </c>
      <c r="H58" s="103">
        <f t="shared" si="20"/>
        <v>250000</v>
      </c>
      <c r="I58" s="103">
        <f t="shared" si="20"/>
        <v>250000</v>
      </c>
      <c r="J58" s="103">
        <f t="shared" si="20"/>
        <v>250000</v>
      </c>
      <c r="K58" s="103">
        <f t="shared" si="20"/>
        <v>250000</v>
      </c>
      <c r="L58" s="103">
        <f t="shared" si="20"/>
        <v>250000</v>
      </c>
      <c r="M58" s="103">
        <f t="shared" si="20"/>
        <v>250000</v>
      </c>
      <c r="N58" s="103">
        <f t="shared" si="20"/>
        <v>250000</v>
      </c>
      <c r="O58" s="6"/>
      <c r="P58" s="6"/>
      <c r="Q58" s="6"/>
      <c r="R58" s="6"/>
      <c r="S58" s="6"/>
      <c r="T58" s="6"/>
      <c r="U58" s="15" t="s">
        <v>240</v>
      </c>
      <c r="V58" s="22">
        <v>19990.0</v>
      </c>
      <c r="W58" s="15" t="s">
        <v>241</v>
      </c>
      <c r="X58" s="6"/>
    </row>
    <row r="59">
      <c r="B59" s="104" t="s">
        <v>207</v>
      </c>
      <c r="C59" s="105">
        <f t="shared" ref="C59:N59" si="21">SUM(C54:C58)</f>
        <v>3629400</v>
      </c>
      <c r="D59" s="105">
        <f t="shared" si="21"/>
        <v>1129400</v>
      </c>
      <c r="E59" s="105">
        <f t="shared" si="21"/>
        <v>1129400</v>
      </c>
      <c r="F59" s="105">
        <f t="shared" si="21"/>
        <v>1129400</v>
      </c>
      <c r="G59" s="105">
        <f t="shared" si="21"/>
        <v>1129400</v>
      </c>
      <c r="H59" s="105">
        <f t="shared" si="21"/>
        <v>1129400</v>
      </c>
      <c r="I59" s="105">
        <f t="shared" si="21"/>
        <v>1129400</v>
      </c>
      <c r="J59" s="105">
        <f t="shared" si="21"/>
        <v>1129400</v>
      </c>
      <c r="K59" s="105">
        <f t="shared" si="21"/>
        <v>1129400</v>
      </c>
      <c r="L59" s="105">
        <f t="shared" si="21"/>
        <v>1129400</v>
      </c>
      <c r="M59" s="105">
        <f t="shared" si="21"/>
        <v>1129400</v>
      </c>
      <c r="N59" s="105">
        <f t="shared" si="21"/>
        <v>1129400</v>
      </c>
      <c r="O59" s="6"/>
      <c r="P59" s="6"/>
      <c r="Q59" s="6"/>
      <c r="R59" s="6"/>
      <c r="S59" s="6"/>
      <c r="T59" s="6"/>
      <c r="U59" s="15" t="s">
        <v>242</v>
      </c>
      <c r="V59" s="22">
        <v>10.0</v>
      </c>
      <c r="W59" s="15" t="s">
        <v>243</v>
      </c>
      <c r="X59" s="6"/>
    </row>
    <row r="60">
      <c r="B60" s="104" t="s">
        <v>209</v>
      </c>
      <c r="C60" s="105">
        <f>C59</f>
        <v>3629400</v>
      </c>
      <c r="D60" s="105">
        <f t="shared" ref="D60:N60" si="22">C60+D59</f>
        <v>4758800</v>
      </c>
      <c r="E60" s="105">
        <f t="shared" si="22"/>
        <v>5888200</v>
      </c>
      <c r="F60" s="105">
        <f t="shared" si="22"/>
        <v>7017600</v>
      </c>
      <c r="G60" s="105">
        <f t="shared" si="22"/>
        <v>8147000</v>
      </c>
      <c r="H60" s="105">
        <f t="shared" si="22"/>
        <v>9276400</v>
      </c>
      <c r="I60" s="105">
        <f t="shared" si="22"/>
        <v>10405800</v>
      </c>
      <c r="J60" s="105">
        <f t="shared" si="22"/>
        <v>11535200</v>
      </c>
      <c r="K60" s="105">
        <f t="shared" si="22"/>
        <v>12664600</v>
      </c>
      <c r="L60" s="105">
        <f t="shared" si="22"/>
        <v>13794000</v>
      </c>
      <c r="M60" s="105">
        <f t="shared" si="22"/>
        <v>14923400</v>
      </c>
      <c r="N60" s="105">
        <f t="shared" si="22"/>
        <v>16052800</v>
      </c>
      <c r="O60" s="6"/>
      <c r="P60" s="6"/>
      <c r="Q60" s="6"/>
      <c r="R60" s="6"/>
      <c r="S60" s="6"/>
      <c r="T60" s="6"/>
      <c r="U60" s="15" t="s">
        <v>244</v>
      </c>
      <c r="V60" s="22">
        <v>35000.0</v>
      </c>
      <c r="W60" s="15" t="s">
        <v>245</v>
      </c>
      <c r="X60" s="6"/>
    </row>
    <row r="61" ht="15.75" customHeight="1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15" t="s">
        <v>246</v>
      </c>
      <c r="V61" s="15">
        <v>80.0</v>
      </c>
      <c r="W61" s="15" t="s">
        <v>247</v>
      </c>
      <c r="X61" s="6"/>
    </row>
    <row r="62">
      <c r="B62" s="95" t="s">
        <v>248</v>
      </c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6"/>
      <c r="Q62" s="6"/>
      <c r="R62" s="6"/>
      <c r="S62" s="6"/>
      <c r="T62" s="6"/>
      <c r="U62" s="15" t="s">
        <v>165</v>
      </c>
      <c r="V62" s="71">
        <v>0.1</v>
      </c>
      <c r="W62" s="15" t="s">
        <v>249</v>
      </c>
      <c r="X62" s="6"/>
    </row>
    <row r="63" ht="15.75" customHeight="1">
      <c r="B63" s="106"/>
      <c r="P63" s="107"/>
      <c r="Q63" s="6"/>
      <c r="R63" s="6"/>
      <c r="S63" s="6"/>
      <c r="T63" s="6"/>
      <c r="U63" s="15" t="s">
        <v>250</v>
      </c>
      <c r="V63" s="22">
        <v>250000.0</v>
      </c>
      <c r="W63" s="15" t="s">
        <v>251</v>
      </c>
      <c r="X63" s="6"/>
    </row>
    <row r="64" ht="15.75" customHeight="1">
      <c r="B64" s="97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9"/>
      <c r="Q64" s="6"/>
      <c r="R64" s="6"/>
      <c r="S64" s="6"/>
      <c r="T64" s="6"/>
      <c r="U64" s="15" t="s">
        <v>252</v>
      </c>
      <c r="V64" s="15">
        <v>12.0</v>
      </c>
      <c r="W64" s="15" t="s">
        <v>253</v>
      </c>
      <c r="X64" s="6"/>
    </row>
    <row r="65" ht="15.75" customHeight="1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15" t="s">
        <v>232</v>
      </c>
      <c r="V65" s="22">
        <f>N60</f>
        <v>16052800</v>
      </c>
      <c r="W65" s="15" t="s">
        <v>254</v>
      </c>
      <c r="X65" s="6"/>
    </row>
    <row r="66" ht="15.75" customHeight="1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ht="15.75" customHeight="1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B4:R4"/>
    <mergeCell ref="T4:U4"/>
    <mergeCell ref="B5:R5"/>
    <mergeCell ref="B14:R14"/>
    <mergeCell ref="T21:U21"/>
    <mergeCell ref="B2:R2"/>
    <mergeCell ref="B52:N52"/>
    <mergeCell ref="U52:W52"/>
    <mergeCell ref="B62:P64"/>
    <mergeCell ref="T29:X29"/>
    <mergeCell ref="B31:B38"/>
    <mergeCell ref="T34:U34"/>
    <mergeCell ref="C41:R41"/>
    <mergeCell ref="C42:R42"/>
    <mergeCell ref="U44:W44"/>
  </mergeCells>
  <conditionalFormatting sqref="C28:Q28">
    <cfRule type="expression" dxfId="0" priority="1">
      <formula>C28&lt;0</formula>
    </cfRule>
  </conditionalFormatting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38"/>
    <col customWidth="1" min="2" max="2" width="110.0"/>
    <col customWidth="1" min="3" max="4" width="22.0"/>
    <col customWidth="1" min="5" max="5" width="75.0"/>
    <col customWidth="1" min="6" max="6" width="16.0"/>
    <col customWidth="1" min="7" max="26" width="8.63"/>
  </cols>
  <sheetData>
    <row r="1" ht="21.75" customHeight="1">
      <c r="A1" s="26" t="s">
        <v>36</v>
      </c>
      <c r="B1" s="8"/>
      <c r="C1" s="8"/>
      <c r="D1" s="8"/>
      <c r="E1" s="8"/>
      <c r="F1" s="9"/>
    </row>
    <row r="2">
      <c r="A2" s="28" t="s">
        <v>39</v>
      </c>
      <c r="B2" s="28" t="s">
        <v>40</v>
      </c>
      <c r="C2" s="28" t="s">
        <v>41</v>
      </c>
      <c r="D2" s="28" t="s">
        <v>42</v>
      </c>
      <c r="E2" s="28" t="s">
        <v>43</v>
      </c>
      <c r="F2" s="28" t="s">
        <v>44</v>
      </c>
    </row>
    <row r="3" ht="35.25" customHeight="1">
      <c r="A3" s="30" t="s">
        <v>47</v>
      </c>
      <c r="B3" s="30" t="s">
        <v>48</v>
      </c>
      <c r="C3" s="30" t="s">
        <v>49</v>
      </c>
      <c r="D3" s="30" t="s">
        <v>50</v>
      </c>
      <c r="E3" s="30" t="s">
        <v>51</v>
      </c>
      <c r="F3" s="30" t="s">
        <v>52</v>
      </c>
    </row>
    <row r="4" ht="35.25" customHeight="1">
      <c r="A4" s="30" t="s">
        <v>53</v>
      </c>
      <c r="B4" s="30" t="s">
        <v>54</v>
      </c>
      <c r="C4" s="30" t="s">
        <v>55</v>
      </c>
      <c r="D4" s="30" t="s">
        <v>50</v>
      </c>
      <c r="E4" s="30" t="s">
        <v>56</v>
      </c>
      <c r="F4" s="30" t="s">
        <v>52</v>
      </c>
    </row>
    <row r="5" ht="35.25" customHeight="1">
      <c r="A5" s="30" t="s">
        <v>57</v>
      </c>
      <c r="B5" s="30" t="s">
        <v>58</v>
      </c>
      <c r="C5" s="30" t="s">
        <v>59</v>
      </c>
      <c r="D5" s="30" t="s">
        <v>50</v>
      </c>
      <c r="E5" s="30" t="s">
        <v>60</v>
      </c>
      <c r="F5" s="30" t="s">
        <v>52</v>
      </c>
    </row>
    <row r="6" ht="35.25" customHeight="1">
      <c r="A6" s="30" t="s">
        <v>61</v>
      </c>
      <c r="B6" s="30" t="s">
        <v>62</v>
      </c>
      <c r="C6" s="30" t="s">
        <v>63</v>
      </c>
      <c r="D6" s="30" t="s">
        <v>64</v>
      </c>
      <c r="E6" s="30" t="s">
        <v>65</v>
      </c>
      <c r="F6" s="30" t="s">
        <v>52</v>
      </c>
    </row>
    <row r="7" ht="35.25" customHeight="1">
      <c r="A7" s="30" t="s">
        <v>66</v>
      </c>
      <c r="B7" s="30" t="s">
        <v>67</v>
      </c>
      <c r="C7" s="30" t="s">
        <v>68</v>
      </c>
      <c r="D7" s="30" t="s">
        <v>64</v>
      </c>
      <c r="E7" s="30" t="s">
        <v>69</v>
      </c>
      <c r="F7" s="30" t="s">
        <v>52</v>
      </c>
    </row>
    <row r="8" ht="35.25" customHeight="1">
      <c r="A8" s="30" t="s">
        <v>70</v>
      </c>
      <c r="B8" s="30" t="s">
        <v>71</v>
      </c>
      <c r="C8" s="30" t="s">
        <v>72</v>
      </c>
      <c r="D8" s="30" t="s">
        <v>73</v>
      </c>
      <c r="E8" s="30" t="s">
        <v>74</v>
      </c>
      <c r="F8" s="30" t="s">
        <v>52</v>
      </c>
    </row>
    <row r="9" ht="35.25" customHeight="1">
      <c r="A9" s="30" t="s">
        <v>75</v>
      </c>
      <c r="B9" s="30" t="s">
        <v>76</v>
      </c>
      <c r="C9" s="30" t="s">
        <v>77</v>
      </c>
      <c r="D9" s="30" t="s">
        <v>78</v>
      </c>
      <c r="E9" s="30" t="s">
        <v>79</v>
      </c>
      <c r="F9" s="30" t="s">
        <v>52</v>
      </c>
    </row>
    <row r="10" ht="35.25" customHeight="1">
      <c r="A10" s="30" t="s">
        <v>80</v>
      </c>
      <c r="B10" s="30" t="s">
        <v>81</v>
      </c>
      <c r="C10" s="30" t="s">
        <v>82</v>
      </c>
      <c r="D10" s="30" t="s">
        <v>83</v>
      </c>
      <c r="E10" s="30" t="s">
        <v>84</v>
      </c>
      <c r="F10" s="30" t="s">
        <v>52</v>
      </c>
    </row>
    <row r="11" ht="35.25" customHeight="1">
      <c r="A11" s="30" t="s">
        <v>85</v>
      </c>
      <c r="B11" s="30" t="s">
        <v>86</v>
      </c>
      <c r="C11" s="30" t="s">
        <v>87</v>
      </c>
      <c r="D11" s="30" t="s">
        <v>88</v>
      </c>
      <c r="E11" s="30" t="s">
        <v>89</v>
      </c>
      <c r="F11" s="30" t="s">
        <v>52</v>
      </c>
    </row>
    <row r="12" ht="35.25" customHeight="1">
      <c r="A12" s="30" t="s">
        <v>90</v>
      </c>
      <c r="B12" s="30" t="s">
        <v>91</v>
      </c>
      <c r="C12" s="30" t="s">
        <v>92</v>
      </c>
      <c r="D12" s="30" t="s">
        <v>93</v>
      </c>
      <c r="E12" s="30" t="s">
        <v>94</v>
      </c>
      <c r="F12" s="30" t="s">
        <v>52</v>
      </c>
    </row>
    <row r="13" ht="35.25" customHeight="1">
      <c r="A13" s="30" t="s">
        <v>96</v>
      </c>
      <c r="B13" s="30" t="s">
        <v>98</v>
      </c>
      <c r="C13" s="30" t="s">
        <v>99</v>
      </c>
      <c r="D13" s="30" t="s">
        <v>100</v>
      </c>
      <c r="E13" s="30" t="s">
        <v>101</v>
      </c>
      <c r="F13" s="30" t="s">
        <v>52</v>
      </c>
    </row>
    <row r="14">
      <c r="A14" s="31"/>
      <c r="B14" s="31"/>
      <c r="C14" s="31"/>
      <c r="D14" s="31"/>
      <c r="E14" s="31"/>
      <c r="F14" s="31"/>
    </row>
    <row r="15" ht="28.5" customHeight="1">
      <c r="A15" s="26" t="s">
        <v>102</v>
      </c>
      <c r="B15" s="8"/>
      <c r="C15" s="8"/>
      <c r="D15" s="8"/>
      <c r="E15" s="8"/>
      <c r="F15" s="9"/>
    </row>
    <row r="16" ht="33.75" customHeight="1">
      <c r="A16" s="30" t="s">
        <v>103</v>
      </c>
      <c r="B16" s="32" t="s">
        <v>104</v>
      </c>
      <c r="C16" s="8"/>
      <c r="D16" s="8"/>
      <c r="E16" s="8"/>
      <c r="F16" s="9"/>
    </row>
    <row r="17" ht="33.75" customHeight="1">
      <c r="A17" s="30" t="s">
        <v>105</v>
      </c>
      <c r="B17" s="32" t="s">
        <v>106</v>
      </c>
      <c r="C17" s="8"/>
      <c r="D17" s="8"/>
      <c r="E17" s="8"/>
      <c r="F17" s="9"/>
    </row>
    <row r="18" ht="33.75" customHeight="1">
      <c r="A18" s="30" t="s">
        <v>107</v>
      </c>
      <c r="B18" s="32" t="s">
        <v>108</v>
      </c>
      <c r="C18" s="8"/>
      <c r="D18" s="8"/>
      <c r="E18" s="8"/>
      <c r="F18" s="9"/>
    </row>
    <row r="19" ht="33.75" customHeight="1">
      <c r="A19" s="30" t="s">
        <v>110</v>
      </c>
      <c r="B19" s="32" t="s">
        <v>111</v>
      </c>
      <c r="C19" s="8"/>
      <c r="D19" s="8"/>
      <c r="E19" s="8"/>
      <c r="F19" s="9"/>
    </row>
    <row r="20" ht="33.75" customHeight="1">
      <c r="A20" s="30" t="s">
        <v>112</v>
      </c>
      <c r="B20" s="32" t="s">
        <v>113</v>
      </c>
      <c r="C20" s="8"/>
      <c r="D20" s="8"/>
      <c r="E20" s="8"/>
      <c r="F20" s="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F1"/>
    <mergeCell ref="A15:F15"/>
    <mergeCell ref="B16:F16"/>
    <mergeCell ref="B17:F17"/>
    <mergeCell ref="B18:F18"/>
    <mergeCell ref="B19:F19"/>
    <mergeCell ref="B20:F20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16.0"/>
    <col customWidth="1" min="3" max="3" width="13.0"/>
    <col customWidth="1" min="4" max="4" width="16.0"/>
    <col customWidth="1" min="5" max="5" width="13.0"/>
    <col customWidth="1" min="6" max="6" width="38.0"/>
    <col customWidth="1" min="7" max="7" width="18.0"/>
    <col customWidth="1" min="8" max="8" width="34.0"/>
    <col customWidth="1" min="9" max="9" width="32.0"/>
    <col customWidth="1" min="10" max="10" width="30.0"/>
    <col customWidth="1" min="11" max="26" width="8.63"/>
  </cols>
  <sheetData>
    <row r="1">
      <c r="A1" s="40" t="s">
        <v>129</v>
      </c>
    </row>
    <row r="2">
      <c r="A2" s="41"/>
      <c r="B2" s="41"/>
      <c r="C2" s="41"/>
      <c r="D2" s="41"/>
      <c r="E2" s="41"/>
      <c r="F2" s="41"/>
      <c r="G2" s="41"/>
      <c r="H2" s="41"/>
      <c r="I2" s="41"/>
      <c r="J2" s="41"/>
    </row>
    <row r="3">
      <c r="A3" s="42" t="s">
        <v>130</v>
      </c>
      <c r="B3" s="42" t="s">
        <v>131</v>
      </c>
      <c r="C3" s="42" t="s">
        <v>132</v>
      </c>
      <c r="D3" s="42" t="s">
        <v>133</v>
      </c>
      <c r="E3" s="42" t="s">
        <v>134</v>
      </c>
      <c r="F3" s="42" t="s">
        <v>135</v>
      </c>
      <c r="G3" s="42" t="s">
        <v>136</v>
      </c>
      <c r="H3" s="42" t="s">
        <v>137</v>
      </c>
      <c r="I3" s="42" t="s">
        <v>138</v>
      </c>
      <c r="J3" s="42" t="s">
        <v>139</v>
      </c>
    </row>
    <row r="4" ht="31.5" customHeight="1">
      <c r="A4" s="43" t="s">
        <v>103</v>
      </c>
      <c r="B4" s="43" t="s">
        <v>6</v>
      </c>
      <c r="C4" s="44">
        <v>0.6</v>
      </c>
      <c r="D4" s="45" t="s">
        <v>14</v>
      </c>
      <c r="E4" s="44">
        <v>0.4</v>
      </c>
      <c r="F4" s="45" t="s">
        <v>141</v>
      </c>
      <c r="G4" s="48">
        <f>'Escenario Bajo'!N51</f>
        <v>0</v>
      </c>
      <c r="H4" s="43" t="s">
        <v>143</v>
      </c>
      <c r="I4" s="43" t="s">
        <v>143</v>
      </c>
      <c r="J4" s="43" t="s">
        <v>143</v>
      </c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ht="31.5" customHeight="1">
      <c r="A5" s="43" t="s">
        <v>105</v>
      </c>
      <c r="B5" s="43" t="s">
        <v>6</v>
      </c>
      <c r="C5" s="44">
        <v>0.6</v>
      </c>
      <c r="D5" s="45" t="s">
        <v>14</v>
      </c>
      <c r="E5" s="44">
        <v>0.4</v>
      </c>
      <c r="F5" s="45" t="s">
        <v>144</v>
      </c>
      <c r="G5" s="48">
        <f>'Escenario Medio'!N51</f>
        <v>1500000</v>
      </c>
      <c r="H5" s="43" t="s">
        <v>143</v>
      </c>
      <c r="I5" s="43" t="s">
        <v>143</v>
      </c>
      <c r="J5" s="43" t="s">
        <v>143</v>
      </c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ht="31.5" customHeight="1">
      <c r="A6" s="43" t="s">
        <v>107</v>
      </c>
      <c r="B6" s="43" t="s">
        <v>6</v>
      </c>
      <c r="C6" s="44">
        <v>0.6</v>
      </c>
      <c r="D6" s="45" t="s">
        <v>14</v>
      </c>
      <c r="E6" s="44">
        <v>0.4</v>
      </c>
      <c r="F6" s="45" t="s">
        <v>145</v>
      </c>
      <c r="G6" s="48">
        <f>'Escenario Alto'!N60</f>
        <v>16052800</v>
      </c>
      <c r="H6" s="43" t="s">
        <v>146</v>
      </c>
      <c r="I6" s="43" t="s">
        <v>147</v>
      </c>
      <c r="J6" s="43" t="s">
        <v>148</v>
      </c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>
      <c r="A7" s="41"/>
      <c r="B7" s="41"/>
      <c r="C7" s="41"/>
      <c r="D7" s="41"/>
      <c r="E7" s="41"/>
      <c r="F7" s="41"/>
      <c r="G7" s="41"/>
      <c r="H7" s="41"/>
      <c r="I7" s="41"/>
      <c r="J7" s="41"/>
    </row>
    <row r="8">
      <c r="A8" s="41"/>
      <c r="B8" s="41"/>
      <c r="C8" s="41"/>
      <c r="D8" s="41"/>
      <c r="E8" s="41"/>
      <c r="F8" s="41"/>
      <c r="G8" s="41"/>
      <c r="H8" s="41"/>
      <c r="I8" s="41"/>
      <c r="J8" s="41"/>
    </row>
    <row r="9">
      <c r="A9" s="41"/>
      <c r="B9" s="41"/>
      <c r="C9" s="41"/>
      <c r="D9" s="41"/>
      <c r="E9" s="41"/>
      <c r="F9" s="41"/>
      <c r="G9" s="41"/>
      <c r="H9" s="41"/>
      <c r="I9" s="41"/>
      <c r="J9" s="41"/>
    </row>
    <row r="10">
      <c r="A10" s="51" t="s">
        <v>151</v>
      </c>
      <c r="B10" s="8"/>
      <c r="C10" s="8"/>
      <c r="D10" s="8"/>
      <c r="E10" s="8"/>
      <c r="F10" s="9"/>
      <c r="G10" s="41"/>
      <c r="H10" s="41"/>
      <c r="I10" s="41"/>
      <c r="J10" s="41"/>
    </row>
    <row r="11">
      <c r="A11" s="52" t="s">
        <v>152</v>
      </c>
      <c r="B11" s="52" t="s">
        <v>153</v>
      </c>
      <c r="C11" s="52" t="s">
        <v>154</v>
      </c>
      <c r="D11" s="52" t="s">
        <v>152</v>
      </c>
      <c r="E11" s="52" t="s">
        <v>153</v>
      </c>
      <c r="F11" s="52" t="s">
        <v>154</v>
      </c>
      <c r="G11" s="41"/>
      <c r="H11" s="41"/>
      <c r="I11" s="41"/>
      <c r="J11" s="41"/>
    </row>
    <row r="12" ht="23.25" customHeight="1">
      <c r="A12" s="53" t="s">
        <v>155</v>
      </c>
      <c r="B12" s="54">
        <v>2500000.0</v>
      </c>
      <c r="C12" s="53" t="s">
        <v>156</v>
      </c>
      <c r="D12" s="53" t="s">
        <v>157</v>
      </c>
      <c r="E12" s="54">
        <v>7990.0</v>
      </c>
      <c r="F12" s="53" t="s">
        <v>158</v>
      </c>
      <c r="G12" s="41"/>
      <c r="H12" s="41"/>
      <c r="I12" s="41"/>
      <c r="J12" s="41"/>
    </row>
    <row r="13" ht="23.25" customHeight="1">
      <c r="A13" s="53" t="s">
        <v>159</v>
      </c>
      <c r="B13" s="55">
        <v>50.0</v>
      </c>
      <c r="C13" s="53" t="s">
        <v>160</v>
      </c>
      <c r="D13" s="53" t="s">
        <v>161</v>
      </c>
      <c r="E13" s="54">
        <v>19990.0</v>
      </c>
      <c r="F13" s="53" t="s">
        <v>162</v>
      </c>
      <c r="G13" s="41"/>
      <c r="H13" s="41"/>
      <c r="I13" s="41"/>
      <c r="J13" s="41"/>
    </row>
    <row r="14" ht="23.25" customHeight="1">
      <c r="A14" s="53" t="s">
        <v>163</v>
      </c>
      <c r="B14" s="55">
        <v>10.0</v>
      </c>
      <c r="C14" s="53" t="s">
        <v>164</v>
      </c>
      <c r="D14" s="53" t="s">
        <v>165</v>
      </c>
      <c r="E14" s="56">
        <v>0.1</v>
      </c>
      <c r="F14" s="53" t="s">
        <v>166</v>
      </c>
      <c r="G14" s="41"/>
      <c r="H14" s="41"/>
      <c r="I14" s="41"/>
      <c r="J14" s="41"/>
    </row>
    <row r="15" ht="23.25" customHeight="1">
      <c r="A15" s="53" t="s">
        <v>168</v>
      </c>
      <c r="B15" s="54">
        <v>35000.0</v>
      </c>
      <c r="C15" s="53" t="s">
        <v>169</v>
      </c>
      <c r="D15" s="53" t="s">
        <v>170</v>
      </c>
      <c r="E15" s="55">
        <v>80.0</v>
      </c>
      <c r="F15" s="53" t="s">
        <v>164</v>
      </c>
      <c r="G15" s="41"/>
      <c r="H15" s="41"/>
      <c r="I15" s="41"/>
      <c r="J15" s="41"/>
    </row>
    <row r="16" ht="23.25" customHeight="1">
      <c r="A16" s="53" t="s">
        <v>139</v>
      </c>
      <c r="B16" s="54">
        <v>250000.0</v>
      </c>
      <c r="C16" s="53" t="s">
        <v>158</v>
      </c>
      <c r="D16" s="53" t="s">
        <v>171</v>
      </c>
      <c r="E16" s="55">
        <v>0.0</v>
      </c>
      <c r="F16" s="53" t="s">
        <v>158</v>
      </c>
      <c r="G16" s="41"/>
      <c r="H16" s="41"/>
      <c r="I16" s="41"/>
      <c r="J16" s="41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10:F10"/>
  </mergeCells>
  <printOptions/>
  <pageMargins bottom="0.75" footer="0.0" header="0.0" left="0.7" right="0.7" top="0.75"/>
  <pageSetup orientation="landscape"/>
  <drawing r:id="rId1"/>
</worksheet>
</file>