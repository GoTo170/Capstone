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cciones Aprendidas" sheetId="1" r:id="rId4"/>
    <sheet state="visible" name="Instructivo" sheetId="2" r:id="rId5"/>
    <sheet state="visible" name="Ejemplo" sheetId="3" r:id="rId6"/>
  </sheets>
  <definedNames/>
  <calcPr/>
  <extLst>
    <ext uri="GoogleSheetsCustomDataVersion2">
      <go:sheetsCustomData xmlns:go="http://customooxmlschemas.google.com/" r:id="rId7" roundtripDataChecksum="BL4w6FwiRtAuH8LHuX4ivRtTaBle+GUf7ZkKY1mER9E="/>
    </ext>
  </extLst>
</workbook>
</file>

<file path=xl/sharedStrings.xml><?xml version="1.0" encoding="utf-8"?>
<sst xmlns="http://schemas.openxmlformats.org/spreadsheetml/2006/main" count="151" uniqueCount="111">
  <si>
    <t>Registro de lecciones aprendidas</t>
  </si>
  <si>
    <t>Registro de lecciones aprendidas: Instructivo</t>
  </si>
  <si>
    <t>Registro de lecciones aprendidas: Ejemplo</t>
  </si>
  <si>
    <t>Elaborado por: www.pmoinformatica.com</t>
  </si>
  <si>
    <t>Nro. De Referencia</t>
  </si>
  <si>
    <t>Código de Proyecto</t>
  </si>
  <si>
    <t>Nombre del Proyecto</t>
  </si>
  <si>
    <t>Área / Categoría</t>
  </si>
  <si>
    <t>Fecha</t>
  </si>
  <si>
    <t>Amenaza / Oportunidad</t>
  </si>
  <si>
    <t>Título</t>
  </si>
  <si>
    <t>Descripción de la Situación</t>
  </si>
  <si>
    <t>Descripción del Impacto en los objetivos del proyecto</t>
  </si>
  <si>
    <t>Acciones Correctivas y Preventivas Implementadas</t>
  </si>
  <si>
    <t>Lección Aprendida / Recomendaciones</t>
  </si>
  <si>
    <t>MAM-LL-001</t>
  </si>
  <si>
    <t>MAM-APT-2026</t>
  </si>
  <si>
    <t>Columna</t>
  </si>
  <si>
    <t>Mamoru</t>
  </si>
  <si>
    <t>Gestión de Alcance</t>
  </si>
  <si>
    <t>Instrucciones</t>
  </si>
  <si>
    <t>Oportunidad</t>
  </si>
  <si>
    <t>Definir alcance y exclusiones antes del desarrollo</t>
  </si>
  <si>
    <t>Durante la definición inicial se identificó que Mamoru podía crecer rápidamente al incorporar aplicación móvil, portal web, marketplace, chat, SOS, tareas y validaciones de cuidadores. Fue necesario delimitar desde temprano qué funcionalidades pertenecían al MVP y cuáles quedarían fuera.</t>
  </si>
  <si>
    <t>Permitió mantener el proyecto dentro de las 15 semanas académicas y redujo el riesgo de incorporar funcionalidades no esenciales que afectaran el cronograma y la calidad.</t>
  </si>
  <si>
    <t>Se documentaron alcance, exclusiones, requisitos priorizados y control de cambios. Se mantuvo el foco en las funcionalidades Must del proyecto.</t>
  </si>
  <si>
    <t>En proyectos con varios módulos se debe cerrar y documentar el alcance antes de profundizar el desarrollo. Las nuevas ideas deben pasar por control de cambios para evitar crecimiento descontrolado.</t>
  </si>
  <si>
    <t>XXXX-XXXX-XX</t>
  </si>
  <si>
    <t>MAM-LL-002</t>
  </si>
  <si>
    <t>Arquitectura y Diseño</t>
  </si>
  <si>
    <t>Separar responsabilidades entre app, API y base de datos</t>
  </si>
  <si>
    <t>La solución requería una app Flutter, un portal web administrativo, una API FastAPI y PostgreSQL. Definir una arquitectura cliente-servidor con backend centralizado permitió evitar que las interfaces accedieran directamente a la base de datos.</t>
  </si>
  <si>
    <t>Desarrollo de Sistema para Gestión de Lecciones aprendidas</t>
  </si>
  <si>
    <t>Mejoró la claridad de responsabilidades, la seguridad de acceso a datos y la posibilidad de mantener una sola lógica de negocio para la aplicación móvil y el portal web.</t>
  </si>
  <si>
    <t>Gestión de Requerimientos</t>
  </si>
  <si>
    <t>Se definió que app y portal consumen la API; la API concentra autenticación, autorización, validaciones y acceso a PostgreSQL.</t>
  </si>
  <si>
    <t>Definir la arquitectura antes de implementar disminuye inconsistencias. La lógica sensible y los permisos deben permanecer en el backend y no depender de la interfaz.</t>
  </si>
  <si>
    <t>MAM-LL-003</t>
  </si>
  <si>
    <t>Entorno de Desarrollo</t>
  </si>
  <si>
    <t>Numeración de la lección aprendida según formato acordado, identifica unívocamente a una lección aprendida.</t>
  </si>
  <si>
    <t>Amenaza</t>
  </si>
  <si>
    <t xml:space="preserve">Amenaza </t>
  </si>
  <si>
    <t>Documento de Diseño con insuficiente detalle.</t>
  </si>
  <si>
    <t xml:space="preserve">Ciertos escenarios no fueron descritos en detalle en los documentos funcionales, en su lugar, en algunos casos se hizo referencia al comportamiento de un sistema anterior. 
Está situación ocasionó interpretaciones inadecuadas del alcance por parte del equipo de desarrollo, por lo que ciertos componentes no fueron aceptados por el usuario final. </t>
  </si>
  <si>
    <t>Se retrasó la fecha de entrega y se incurrieron en costos adicionales por retrabajo.</t>
  </si>
  <si>
    <t>Problemas de configuración local pueden bloquear el avance</t>
  </si>
  <si>
    <t>Durante la preparación del entorno se presentaron problemas con PostgreSQL y con la compilación Flutter/Gradle, incluyendo errores de caché y configuración de dependencias. Estos inconvenientes no correspondían a lógica funcional de Mamoru, pero impedían ejecutar la aplicación normalmente.</t>
  </si>
  <si>
    <t>Como acción correctiva, se realizaron reuniones con los usuarios para describir el comportamiento esperado y se actualizó el documento de diseño funcional. Luego se realizaron desarrollos de la funcionalidad esperada.
Como acción preventiva, se revisaron el resto de los documentos de diseño funcional para buscar identificar situaciones similares y tomar los correctivos antes de comenzar a desarrollar esos componentes.</t>
  </si>
  <si>
    <t>Generó interrupciones en el desarrollo y obligó a dedicar tiempo a revisar configuración local, versiones, credenciales y dependencias antes de continuar con funcionalidades.</t>
  </si>
  <si>
    <t xml:space="preserve">Implementar un control de aprobación de los documentos funcionales.
Incluir en el checklist de aprobación que el documento describa en detalle los procesos de negocio y comportamiento esperados.
</t>
  </si>
  <si>
    <t>Se revisó la configuración de PostgreSQL, variables de entorno, dependencias Flutter y caché de Gradle. Se documentaron los pasos de instalación y recuperación para reutilizarlos.</t>
  </si>
  <si>
    <t>El entorno técnico debe validarse al inicio y documentarse. Mantener versiones compatibles y procedimientos de recuperación reduce el tiempo perdido frente a errores de configuración.</t>
  </si>
  <si>
    <t>MAM-LL-004</t>
  </si>
  <si>
    <t>Base de Datos</t>
  </si>
  <si>
    <t>Normalizar información crítica mejora el modelo de datos</t>
  </si>
  <si>
    <t>En las primeras definiciones, enfermedades, alergias e intolerancias podían almacenarse como textos dentro del perfil del adulto mayor. Al revisar el modelo se concluyó que convenía separar antecedentes de salud, contactos de emergencia e invitaciones en estructuras propias.</t>
  </si>
  <si>
    <t>El modelo quedó más flexible y facilita agregar, consultar y mantener múltiples antecedentes sin modificar continuamente la estructura principal del perfil del adulto mayor.</t>
  </si>
  <si>
    <t>Se separaron antecedentes de salud, contactos de emergencia e invitaciones de vinculación. El perfil del adulto mayor conserva sus datos principales y las relaciones se manejan mediante claves foráneas.</t>
  </si>
  <si>
    <t>Los datos repetibles o con ciclo de vida propio no deberían guardarse como un único texto. Normalizarlos mejora mantenibilidad, validación y trazabilidad.</t>
  </si>
  <si>
    <t>MAM-LL-005</t>
  </si>
  <si>
    <t>Usabilidad y Autenticación</t>
  </si>
  <si>
    <t>El código de proyecto en el que se identificó la lección aprendida.</t>
  </si>
  <si>
    <t>El acceso del adulto mayor debe priorizar simplicidad</t>
  </si>
  <si>
    <t>El flujo inicial consideraba autenticación tradicional para todos los roles. Al revisar las necesidades del adulto mayor se decidió reemplazar el login habitual por una invitación con código o enlace temporal generado por el familiar.</t>
  </si>
  <si>
    <t>Redujo la complejidad del flujo de acceso para el adulto mayor y alineó mejor la solución con el objetivo de ofrecer una interfaz simple y accesible.</t>
  </si>
  <si>
    <t>Se definió una tabla de invitaciones con código/token, expiración, estado y uso único. El adulto mayor puede canjear la invitación y acceder sin email y contraseña tradicionales.</t>
  </si>
  <si>
    <t>La autenticación debe adaptarse al usuario objetivo. En perfiles con menor afinidad tecnológica, simplificar pasos puede ser más importante que reutilizar el mismo flujo de acceso de otros roles.</t>
  </si>
  <si>
    <t>MAM-LL-006</t>
  </si>
  <si>
    <t>Seguridad y Autorización</t>
  </si>
  <si>
    <t>La relación cuidador-adulto mayor debe ser temporal</t>
  </si>
  <si>
    <t>Se evaluó si el cuidador debía tener una vinculación permanente similar a la relación familiar-adulto mayor. Se concluyó que el acceso del cuidador debe depender de una solicitud o servicio aceptado y vigente.</t>
  </si>
  <si>
    <t>Evita que un cuidador mantenga acceso a tareas o información importante una vez finalizado el servicio y reduce el riesgo de permisos excesivos.</t>
  </si>
  <si>
    <t>La tabla de vinculaciones quedó reservada para familiar-adulto mayor. El backend valida la existencia y vigencia del servicio antes de permitir al cuidador consultar tareas, registrar bitácora o acceder a datos relevantes.</t>
  </si>
  <si>
    <t>Los permisos temporales deben derivarse del proceso que los justifica. No se deben crear relaciones permanentes cuando el acceso solo corresponde mientras exista un servicio activo.</t>
  </si>
  <si>
    <t>MAM-LL-007</t>
  </si>
  <si>
    <t>Gestión de Costos</t>
  </si>
  <si>
    <t>Seleccionar un escenario económico coherente con el proyecto académico</t>
  </si>
  <si>
    <t>Nombre descriptivo del proyecto en el que se identificó la lección aprendida.</t>
  </si>
  <si>
    <t>El flujo de caja inicialmente utilizaba el escenario medio como referencia de planificación. Tras retroalimentación docente se determinó que Mamoru se gestionará con el escenario bajo, ya que se reutilizan equipos y se utilizan herramientas gratuitas.</t>
  </si>
  <si>
    <t>La línea base de costo quedó alineada con la realidad académica del proyecto: presupuesto valorizado de $7.319.883 CLP, tecnología e infraestructura pagada por $0 y contingencia del 5%.</t>
  </si>
  <si>
    <t>Se actualizaron el flujo de caja, presupuesto, Plan de Dirección, Acta de Constitución y Control de Costos para usar el escenario bajo como línea base.</t>
  </si>
  <si>
    <t>El presupuesto debe representar el contexto real del proyecto. Un escenario con mayor gasto no debe elegirse solo por ser más completo si los recursos ya disponibles permiten ejecutar el trabajo.</t>
  </si>
  <si>
    <t>MAM-LL-008</t>
  </si>
  <si>
    <t>Financiamiento</t>
  </si>
  <si>
    <t>Reducir las cuotas del cliente a hitos claros</t>
  </si>
  <si>
    <t>La planificación financiera original consideraba cuatro cuotas. La retroalimentación docente indicó que el financiamiento del cliente debía dividirse como máximo en dos hitos.</t>
  </si>
  <si>
    <t>La estructura quedó más simple de explicar y controlar: 60% al inicio ($4.391.930) y 40% en la semana 9 ($2.927.953), cubriendo el presupuesto valorizado del escenario bajo.</t>
  </si>
  <si>
    <t>Se reemplazaron las cuatro cuotas por dos hitos vinculados al inicio del proyecto y al avance funcional, integración y entrada a pruebas.</t>
  </si>
  <si>
    <t>Los pagos deben asociarse a hitos verificables y fáciles de controlar. Una estructura más simple facilita la trazabilidad entre avance, financiamiento y presupuesto.</t>
  </si>
  <si>
    <t>MAM-LL-009</t>
  </si>
  <si>
    <t>Modelo de Negocio</t>
  </si>
  <si>
    <t>Separar el costo académico de la monetización futura</t>
  </si>
  <si>
    <t>Durante el desarrollo se mezclaban conceptos de financiamiento del proyecto con posibles ingresos post-lanzamiento. Se redefinieron los escenarios para diferenciar claramente el costo de construcción de Mamoru de un modelo comercial futuro.</t>
  </si>
  <si>
    <t>En el escenario bajo se proyectan $0 de ingresos comerciales post-lanzamiento. Los modelos de licencia, suscripciones, cobros a cuidadores, comisiones y mantenimiento quedan como alternativas de escenarios superiores y no forman parte de la línea base académica.</t>
  </si>
  <si>
    <t>Se separó en el flujo de caja el financiamiento del desarrollo de la proyección post-lanzamiento y se actualizó la documentación económica.</t>
  </si>
  <si>
    <t>Categorías en las que se clasificaran las lecciones aprendidas, por ejemplo, en un proyecto de Desarrollo de Software estás pueden ser Técnicas, Funcionales, Comunicación, Gestión de los implicados, entre otros; o por ejemplo podrían usarse las áreas de conocimiento de la Gestión de Proyecto, por ejemplo alcance, tiempo, calidad, comunicaciones, entre otros.</t>
  </si>
  <si>
    <t>El presupuesto de construcción y el modelo de ingresos son conceptos distintos. Deben documentarse por separado para no confundir cuánto cuesta desarrollar el producto con cuánto podría generar posteriormente.</t>
  </si>
  <si>
    <t>MAM-LL-010</t>
  </si>
  <si>
    <t>Documentación y Trazabilidad</t>
  </si>
  <si>
    <t>Los cambios deben actualizar todos los documentos relacionados</t>
  </si>
  <si>
    <t>Varias decisiones del proyecto evolucionaron durante el desarrollo, por ejemplo el acceso del adulto mayor, la relación temporal con cuidadores, el escenario de costos y la cantidad de hitos de financiamiento. Si estos cambios se actualizan solo en un documento se generan inconsistencias.</t>
  </si>
  <si>
    <t>Día, mes y año en que se presentó la situación descrita.</t>
  </si>
  <si>
    <t>Una documentación desalineada puede producir contradicciones entre acta, plan de dirección, flujo de caja, requerimientos, base de datos y desarrollo, dificultando la evaluación y la implementación.</t>
  </si>
  <si>
    <t>Se comenzaron a actualizar de forma coordinada los documentos afectados por cada decisión y a mantener referencias entre flujo de caja, presupuesto, plan y acta.</t>
  </si>
  <si>
    <t>Cada cambio relevante debe tener una revisión de impacto documental. Conviene mantener una lista de documentos afectados y actualizar requisitos, diseño, costos y planificación en la misma iteración.</t>
  </si>
  <si>
    <t>Se indica si la lección aprendida está relacionado con un efecto adverso (amenaza) que debe evitarse en el futuro o está asociado con un efecto positivo en el proyecto (oportunidad) sobre el cual deben tomarse acciones para mantenerlo.</t>
  </si>
  <si>
    <t>Alusivo a la situación presentada.</t>
  </si>
  <si>
    <t>Describe los antecedentes y circunstancias que ocasionaron el asunto sujeto de la lección aprendida, siendo importante el identificar las causas raíz que ocasionaron la situación.</t>
  </si>
  <si>
    <t>Efecto que la situación planteada tuvo sobre los objetivos del proyecto, por ejemplo: Retraso en la fecha de entrega del proyecto (expresado en unidad de tiempo), incremento de los costos (expresado en unidad de esfuerzo), reducción de niveles de calidad, insatisfacción del cliente, entre otros. También puede reflejar impactos positivos, por ejemplo, se término la actividad antes de la fecha planificada, se ejecutó una actividad a una fracción del costo, entre otros. Es importante expresar el impacto en términos que se puedan medir.</t>
  </si>
  <si>
    <t>Enumerar las acciones correctivas implementadas para reducir o mejorar los efectos de la situación (dependiendo si son amenazas u oportunidades) y acciones preventivas para reducir o incrementar la probabilidad que se vuelvan a presentar en el futuro.</t>
  </si>
  <si>
    <t>Resume las acciones y estrategias a adoptar en el futuro para evitar que se presente nuevamente la amenaza o para aprovechar la oportunidad (si es una lección de impacto positivo). Se construye a partir de las experiencias de las acciones tomadas para corregir la situación.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</si>
</sst>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7">
    <font>
      <sz val="11.0"/>
      <color theme="1"/>
      <name val="Calibri"/>
      <scheme val="minor"/>
    </font>
    <font>
      <b/>
      <sz val="28.0"/>
      <color theme="1"/>
      <name val="Calibri"/>
    </font>
    <font>
      <sz val="11.0"/>
      <color theme="1"/>
      <name val="Calibri"/>
    </font>
    <font>
      <b/>
      <sz val="16.0"/>
      <color rgb="FF1F497D"/>
      <name val="Calibri"/>
    </font>
    <font>
      <sz val="11.0"/>
      <color theme="0"/>
      <name val="Calibri"/>
    </font>
    <font>
      <sz val="11.0"/>
      <color rgb="FF000000"/>
      <name val="Arial"/>
    </font>
    <font>
      <sz val="11.0"/>
      <color theme="1"/>
      <name val="Arial"/>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s>
  <borders count="8">
    <border/>
    <border>
      <left/>
      <right/>
      <top/>
      <bottom/>
    </border>
    <border>
      <left style="thin">
        <color rgb="FF000000"/>
      </left>
      <right style="thin">
        <color rgb="FF000000"/>
      </right>
      <top style="thin">
        <color rgb="FF000000"/>
      </top>
      <bottom style="thin">
        <color rgb="FF000000"/>
      </bottom>
    </border>
    <border>
      <left style="thin">
        <color rgb="FFB7C9D6"/>
      </left>
      <right style="thin">
        <color rgb="FF000000"/>
      </right>
      <top style="thin">
        <color rgb="FF000000"/>
      </top>
      <bottom style="thin">
        <color rgb="FF000000"/>
      </bottom>
    </border>
    <border>
      <left style="thin">
        <color rgb="FF000000"/>
      </left>
      <right style="thin">
        <color rgb="FFB7C9D6"/>
      </right>
      <top style="thin">
        <color rgb="FF000000"/>
      </top>
      <bottom style="thin">
        <color rgb="FF000000"/>
      </bottom>
    </border>
    <border>
      <left style="thin">
        <color rgb="FFB7C9D6"/>
      </left>
      <right style="thin">
        <color rgb="FF000000"/>
      </right>
      <top style="thin">
        <color rgb="FF000000"/>
      </top>
      <bottom style="thin">
        <color rgb="FFB7C9D6"/>
      </bottom>
    </border>
    <border>
      <left style="thin">
        <color rgb="FF000000"/>
      </left>
      <right style="thin">
        <color rgb="FF000000"/>
      </right>
      <top style="thin">
        <color rgb="FF000000"/>
      </top>
      <bottom style="thin">
        <color rgb="FFB7C9D6"/>
      </bottom>
    </border>
    <border>
      <left style="thin">
        <color rgb="FF000000"/>
      </left>
      <right style="thin">
        <color rgb="FFB7C9D6"/>
      </right>
      <top style="thin">
        <color rgb="FF000000"/>
      </top>
      <bottom style="thin">
        <color rgb="FFB7C9D6"/>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3" fillId="4" fontId="5" numFmtId="0" xfId="0" applyAlignment="1" applyBorder="1" applyFill="1" applyFont="1">
      <alignment readingOrder="0" vertical="center"/>
    </xf>
    <xf borderId="2" fillId="4" fontId="5" numFmtId="0" xfId="0" applyAlignment="1" applyBorder="1" applyFill="1" applyFont="1">
      <alignment readingOrder="0" vertical="center"/>
    </xf>
    <xf borderId="2" fillId="3" fontId="4" numFmtId="0" xfId="0" applyBorder="1" applyFill="1" applyFont="1"/>
    <xf borderId="2" fillId="4" fontId="5" numFmtId="164" xfId="0" applyAlignment="1" applyBorder="1" applyFill="1" applyFont="1" applyNumberFormat="1">
      <alignment horizontal="center" readingOrder="0" vertical="center"/>
    </xf>
    <xf borderId="2" fillId="5" fontId="6" numFmtId="0" xfId="0" applyAlignment="1" applyBorder="1" applyFill="1" applyFont="1">
      <alignment horizontal="center" readingOrder="0" vertical="center"/>
    </xf>
    <xf borderId="2" fillId="4" fontId="5" numFmtId="0" xfId="0" applyAlignment="1" applyBorder="1" applyFill="1" applyFont="1">
      <alignment readingOrder="0" shrinkToFit="0" vertical="center" wrapText="1"/>
    </xf>
    <xf borderId="4" fillId="4" fontId="5" numFmtId="0" xfId="0" applyAlignment="1" applyBorder="1" applyFill="1" applyFont="1">
      <alignment readingOrder="0" shrinkToFit="0" vertical="center" wrapText="1"/>
    </xf>
    <xf borderId="2" fillId="2" fontId="2" numFmtId="0" xfId="0" applyAlignment="1" applyBorder="1" applyFill="1" applyFont="1">
      <alignment horizontal="left" shrinkToFit="0" vertical="top" wrapText="1"/>
    </xf>
    <xf borderId="2" fillId="2" fontId="2" numFmtId="0" xfId="0" applyAlignment="1" applyBorder="1" applyFill="1" applyFont="1">
      <alignment horizontal="left" vertical="top"/>
    </xf>
    <xf borderId="2" fillId="2" fontId="2" numFmtId="165" xfId="0" applyAlignment="1" applyBorder="1" applyFill="1" applyFont="1" applyNumberFormat="1">
      <alignment horizontal="left" shrinkToFit="0" vertical="top" wrapText="1"/>
    </xf>
    <xf borderId="2" fillId="6" fontId="6" numFmtId="0" xfId="0" applyAlignment="1" applyBorder="1" applyFill="1" applyFont="1">
      <alignment horizontal="center" readingOrder="0" vertical="center"/>
    </xf>
    <xf borderId="5" fillId="4" fontId="5" numFmtId="0" xfId="0" applyAlignment="1" applyBorder="1" applyFill="1" applyFont="1">
      <alignment readingOrder="0" vertical="center"/>
    </xf>
    <xf borderId="6" fillId="4" fontId="5" numFmtId="0" xfId="0" applyAlignment="1" applyBorder="1" applyFill="1" applyFont="1">
      <alignment readingOrder="0" vertical="center"/>
    </xf>
    <xf borderId="6" fillId="4" fontId="5" numFmtId="164" xfId="0" applyAlignment="1" applyBorder="1" applyFill="1" applyFont="1" applyNumberFormat="1">
      <alignment horizontal="center" readingOrder="0" vertical="center"/>
    </xf>
    <xf borderId="6" fillId="4" fontId="5" numFmtId="0" xfId="0" applyAlignment="1" applyBorder="1" applyFill="1" applyFont="1">
      <alignment readingOrder="0" shrinkToFit="0" vertical="center" wrapText="1"/>
    </xf>
    <xf borderId="7" fillId="4" fontId="5" numFmtId="0" xfId="0" applyAlignment="1" applyBorder="1" applyFill="1" applyFont="1">
      <alignment readingOrder="0" shrinkToFit="0" vertical="center" wrapText="1"/>
    </xf>
    <xf borderId="2" fillId="2"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8.29"/>
    <col customWidth="1" min="3" max="3" width="20.0"/>
    <col customWidth="1" min="4" max="4" width="33.14"/>
    <col customWidth="1" min="5" max="5" width="16.71"/>
    <col customWidth="1" min="6" max="6" width="22.43"/>
    <col customWidth="1" min="7" max="7" width="40.14"/>
    <col customWidth="1" min="8" max="8" width="58.29"/>
    <col customWidth="1" min="9" max="9" width="59.71"/>
    <col customWidth="1" min="10" max="10" width="69.0"/>
    <col customWidth="1" min="11" max="11" width="63.86"/>
    <col customWidth="1" min="12" max="26" width="11.43"/>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3" t="s">
        <v>3</v>
      </c>
      <c r="B2" s="2"/>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4" t="s">
        <v>4</v>
      </c>
      <c r="B4" s="4" t="s">
        <v>5</v>
      </c>
      <c r="C4" s="4" t="s">
        <v>6</v>
      </c>
      <c r="D4" s="4" t="s">
        <v>7</v>
      </c>
      <c r="E4" s="4" t="s">
        <v>8</v>
      </c>
      <c r="F4" s="4" t="s">
        <v>9</v>
      </c>
      <c r="G4" s="4" t="s">
        <v>10</v>
      </c>
      <c r="H4" s="4" t="s">
        <v>11</v>
      </c>
      <c r="I4" s="4" t="s">
        <v>12</v>
      </c>
      <c r="J4" s="4" t="s">
        <v>13</v>
      </c>
      <c r="K4" s="4" t="s">
        <v>14</v>
      </c>
      <c r="L4" s="2"/>
      <c r="M4" s="2"/>
      <c r="N4" s="2"/>
      <c r="O4" s="2"/>
      <c r="P4" s="2"/>
      <c r="Q4" s="2"/>
      <c r="R4" s="2"/>
      <c r="S4" s="2"/>
      <c r="T4" s="2"/>
      <c r="U4" s="2"/>
      <c r="V4" s="2"/>
      <c r="W4" s="2"/>
      <c r="X4" s="2"/>
      <c r="Y4" s="2"/>
      <c r="Z4" s="2"/>
    </row>
    <row r="5" ht="80.25" customHeight="1">
      <c r="A5" s="5" t="s">
        <v>15</v>
      </c>
      <c r="B5" s="6" t="s">
        <v>16</v>
      </c>
      <c r="C5" s="6" t="s">
        <v>18</v>
      </c>
      <c r="D5" s="6" t="s">
        <v>19</v>
      </c>
      <c r="E5" s="8">
        <v>46259.0</v>
      </c>
      <c r="F5" s="9" t="s">
        <v>21</v>
      </c>
      <c r="G5" s="10" t="s">
        <v>22</v>
      </c>
      <c r="H5" s="10" t="s">
        <v>23</v>
      </c>
      <c r="I5" s="10" t="s">
        <v>24</v>
      </c>
      <c r="J5" s="10" t="s">
        <v>25</v>
      </c>
      <c r="K5" s="11" t="s">
        <v>26</v>
      </c>
      <c r="L5" s="2"/>
      <c r="M5" s="2"/>
      <c r="N5" s="2"/>
      <c r="O5" s="2"/>
      <c r="P5" s="2"/>
      <c r="Q5" s="2"/>
      <c r="R5" s="2"/>
      <c r="S5" s="2"/>
      <c r="T5" s="2"/>
      <c r="U5" s="2"/>
      <c r="V5" s="2"/>
      <c r="W5" s="2"/>
      <c r="X5" s="2"/>
      <c r="Y5" s="2"/>
      <c r="Z5" s="2"/>
    </row>
    <row r="6" ht="80.25" customHeight="1">
      <c r="A6" s="5" t="s">
        <v>28</v>
      </c>
      <c r="B6" s="6" t="s">
        <v>16</v>
      </c>
      <c r="C6" s="6" t="s">
        <v>18</v>
      </c>
      <c r="D6" s="6" t="s">
        <v>29</v>
      </c>
      <c r="E6" s="8">
        <v>46262.0</v>
      </c>
      <c r="F6" s="9" t="s">
        <v>21</v>
      </c>
      <c r="G6" s="10" t="s">
        <v>30</v>
      </c>
      <c r="H6" s="10" t="s">
        <v>31</v>
      </c>
      <c r="I6" s="10" t="s">
        <v>33</v>
      </c>
      <c r="J6" s="10" t="s">
        <v>35</v>
      </c>
      <c r="K6" s="11" t="s">
        <v>36</v>
      </c>
      <c r="L6" s="2"/>
      <c r="M6" s="2"/>
      <c r="N6" s="2"/>
      <c r="O6" s="2"/>
      <c r="P6" s="2"/>
      <c r="Q6" s="2"/>
      <c r="R6" s="2"/>
      <c r="S6" s="2"/>
      <c r="T6" s="2"/>
      <c r="U6" s="2"/>
      <c r="V6" s="2"/>
      <c r="W6" s="2"/>
      <c r="X6" s="2"/>
      <c r="Y6" s="2"/>
      <c r="Z6" s="2"/>
    </row>
    <row r="7" ht="80.25" customHeight="1">
      <c r="A7" s="5" t="s">
        <v>37</v>
      </c>
      <c r="B7" s="6" t="s">
        <v>16</v>
      </c>
      <c r="C7" s="6" t="s">
        <v>18</v>
      </c>
      <c r="D7" s="6" t="s">
        <v>38</v>
      </c>
      <c r="E7" s="8">
        <v>46276.0</v>
      </c>
      <c r="F7" s="15" t="s">
        <v>41</v>
      </c>
      <c r="G7" s="10" t="s">
        <v>45</v>
      </c>
      <c r="H7" s="10" t="s">
        <v>46</v>
      </c>
      <c r="I7" s="10" t="s">
        <v>48</v>
      </c>
      <c r="J7" s="10" t="s">
        <v>50</v>
      </c>
      <c r="K7" s="11" t="s">
        <v>51</v>
      </c>
      <c r="L7" s="2"/>
      <c r="M7" s="2"/>
      <c r="N7" s="2"/>
      <c r="O7" s="2"/>
      <c r="P7" s="2"/>
      <c r="Q7" s="2"/>
      <c r="R7" s="2"/>
      <c r="S7" s="2"/>
      <c r="T7" s="2"/>
      <c r="U7" s="2"/>
      <c r="V7" s="2"/>
      <c r="W7" s="2"/>
      <c r="X7" s="2"/>
      <c r="Y7" s="2"/>
      <c r="Z7" s="2"/>
    </row>
    <row r="8" ht="80.25" customHeight="1">
      <c r="A8" s="5" t="s">
        <v>52</v>
      </c>
      <c r="B8" s="6" t="s">
        <v>16</v>
      </c>
      <c r="C8" s="6" t="s">
        <v>18</v>
      </c>
      <c r="D8" s="6" t="s">
        <v>53</v>
      </c>
      <c r="E8" s="8">
        <v>46283.0</v>
      </c>
      <c r="F8" s="9" t="s">
        <v>21</v>
      </c>
      <c r="G8" s="10" t="s">
        <v>54</v>
      </c>
      <c r="H8" s="10" t="s">
        <v>55</v>
      </c>
      <c r="I8" s="10" t="s">
        <v>56</v>
      </c>
      <c r="J8" s="10" t="s">
        <v>57</v>
      </c>
      <c r="K8" s="11" t="s">
        <v>58</v>
      </c>
      <c r="L8" s="2"/>
      <c r="M8" s="2"/>
      <c r="N8" s="2"/>
      <c r="O8" s="2"/>
      <c r="P8" s="2"/>
      <c r="Q8" s="2"/>
      <c r="R8" s="2"/>
      <c r="S8" s="2"/>
      <c r="T8" s="2"/>
      <c r="U8" s="2"/>
      <c r="V8" s="2"/>
      <c r="W8" s="2"/>
      <c r="X8" s="2"/>
      <c r="Y8" s="2"/>
      <c r="Z8" s="2"/>
    </row>
    <row r="9" ht="80.25" customHeight="1">
      <c r="A9" s="5" t="s">
        <v>59</v>
      </c>
      <c r="B9" s="6" t="s">
        <v>16</v>
      </c>
      <c r="C9" s="6" t="s">
        <v>18</v>
      </c>
      <c r="D9" s="6" t="s">
        <v>60</v>
      </c>
      <c r="E9" s="8">
        <v>46288.0</v>
      </c>
      <c r="F9" s="9" t="s">
        <v>21</v>
      </c>
      <c r="G9" s="10" t="s">
        <v>62</v>
      </c>
      <c r="H9" s="10" t="s">
        <v>63</v>
      </c>
      <c r="I9" s="10" t="s">
        <v>64</v>
      </c>
      <c r="J9" s="10" t="s">
        <v>65</v>
      </c>
      <c r="K9" s="11" t="s">
        <v>66</v>
      </c>
      <c r="L9" s="2"/>
      <c r="M9" s="2"/>
      <c r="N9" s="2"/>
      <c r="O9" s="2"/>
      <c r="P9" s="2"/>
      <c r="Q9" s="2"/>
      <c r="R9" s="2"/>
      <c r="S9" s="2"/>
      <c r="T9" s="2"/>
      <c r="U9" s="2"/>
      <c r="V9" s="2"/>
      <c r="W9" s="2"/>
      <c r="X9" s="2"/>
      <c r="Y9" s="2"/>
      <c r="Z9" s="2"/>
    </row>
    <row r="10" ht="80.25" customHeight="1">
      <c r="A10" s="5" t="s">
        <v>67</v>
      </c>
      <c r="B10" s="6" t="s">
        <v>16</v>
      </c>
      <c r="C10" s="6" t="s">
        <v>18</v>
      </c>
      <c r="D10" s="6" t="s">
        <v>68</v>
      </c>
      <c r="E10" s="8">
        <v>46295.0</v>
      </c>
      <c r="F10" s="9" t="s">
        <v>21</v>
      </c>
      <c r="G10" s="10" t="s">
        <v>69</v>
      </c>
      <c r="H10" s="10" t="s">
        <v>70</v>
      </c>
      <c r="I10" s="10" t="s">
        <v>71</v>
      </c>
      <c r="J10" s="10" t="s">
        <v>72</v>
      </c>
      <c r="K10" s="11" t="s">
        <v>73</v>
      </c>
      <c r="L10" s="2"/>
      <c r="M10" s="2"/>
      <c r="N10" s="2"/>
      <c r="O10" s="2"/>
      <c r="P10" s="2"/>
      <c r="Q10" s="2"/>
      <c r="R10" s="2"/>
      <c r="S10" s="2"/>
      <c r="T10" s="2"/>
      <c r="U10" s="2"/>
      <c r="V10" s="2"/>
      <c r="W10" s="2"/>
      <c r="X10" s="2"/>
      <c r="Y10" s="2"/>
      <c r="Z10" s="2"/>
    </row>
    <row r="11" ht="80.25" customHeight="1">
      <c r="A11" s="5" t="s">
        <v>74</v>
      </c>
      <c r="B11" s="6" t="s">
        <v>16</v>
      </c>
      <c r="C11" s="6" t="s">
        <v>18</v>
      </c>
      <c r="D11" s="6" t="s">
        <v>75</v>
      </c>
      <c r="E11" s="8">
        <v>46296.0</v>
      </c>
      <c r="F11" s="9" t="s">
        <v>21</v>
      </c>
      <c r="G11" s="10" t="s">
        <v>76</v>
      </c>
      <c r="H11" s="10" t="s">
        <v>78</v>
      </c>
      <c r="I11" s="10" t="s">
        <v>79</v>
      </c>
      <c r="J11" s="10" t="s">
        <v>80</v>
      </c>
      <c r="K11" s="11" t="s">
        <v>81</v>
      </c>
      <c r="L11" s="2"/>
      <c r="M11" s="2"/>
      <c r="N11" s="2"/>
      <c r="O11" s="2"/>
      <c r="P11" s="2"/>
      <c r="Q11" s="2"/>
      <c r="R11" s="2"/>
      <c r="S11" s="2"/>
      <c r="T11" s="2"/>
      <c r="U11" s="2"/>
      <c r="V11" s="2"/>
      <c r="W11" s="2"/>
      <c r="X11" s="2"/>
      <c r="Y11" s="2"/>
      <c r="Z11" s="2"/>
    </row>
    <row r="12" ht="80.25" customHeight="1">
      <c r="A12" s="5" t="s">
        <v>82</v>
      </c>
      <c r="B12" s="6" t="s">
        <v>16</v>
      </c>
      <c r="C12" s="6" t="s">
        <v>18</v>
      </c>
      <c r="D12" s="6" t="s">
        <v>83</v>
      </c>
      <c r="E12" s="8">
        <v>46296.0</v>
      </c>
      <c r="F12" s="9" t="s">
        <v>21</v>
      </c>
      <c r="G12" s="10" t="s">
        <v>84</v>
      </c>
      <c r="H12" s="10" t="s">
        <v>85</v>
      </c>
      <c r="I12" s="10" t="s">
        <v>86</v>
      </c>
      <c r="J12" s="10" t="s">
        <v>87</v>
      </c>
      <c r="K12" s="11" t="s">
        <v>88</v>
      </c>
      <c r="L12" s="2"/>
      <c r="M12" s="2"/>
      <c r="N12" s="2"/>
      <c r="O12" s="2"/>
      <c r="P12" s="2"/>
      <c r="Q12" s="2"/>
      <c r="R12" s="2"/>
      <c r="S12" s="2"/>
      <c r="T12" s="2"/>
      <c r="U12" s="2"/>
      <c r="V12" s="2"/>
      <c r="W12" s="2"/>
      <c r="X12" s="2"/>
      <c r="Y12" s="2"/>
      <c r="Z12" s="2"/>
    </row>
    <row r="13" ht="80.25" customHeight="1">
      <c r="A13" s="5" t="s">
        <v>89</v>
      </c>
      <c r="B13" s="6" t="s">
        <v>16</v>
      </c>
      <c r="C13" s="6" t="s">
        <v>18</v>
      </c>
      <c r="D13" s="6" t="s">
        <v>90</v>
      </c>
      <c r="E13" s="8">
        <v>46296.0</v>
      </c>
      <c r="F13" s="9" t="s">
        <v>21</v>
      </c>
      <c r="G13" s="10" t="s">
        <v>91</v>
      </c>
      <c r="H13" s="10" t="s">
        <v>92</v>
      </c>
      <c r="I13" s="10" t="s">
        <v>93</v>
      </c>
      <c r="J13" s="10" t="s">
        <v>94</v>
      </c>
      <c r="K13" s="11" t="s">
        <v>96</v>
      </c>
      <c r="L13" s="2"/>
      <c r="M13" s="2"/>
      <c r="N13" s="2"/>
      <c r="O13" s="2"/>
      <c r="P13" s="2"/>
      <c r="Q13" s="2"/>
      <c r="R13" s="2"/>
      <c r="S13" s="2"/>
      <c r="T13" s="2"/>
      <c r="U13" s="2"/>
      <c r="V13" s="2"/>
      <c r="W13" s="2"/>
      <c r="X13" s="2"/>
      <c r="Y13" s="2"/>
      <c r="Z13" s="2"/>
    </row>
    <row r="14" ht="80.25" customHeight="1">
      <c r="A14" s="16" t="s">
        <v>97</v>
      </c>
      <c r="B14" s="17" t="s">
        <v>16</v>
      </c>
      <c r="C14" s="17" t="s">
        <v>18</v>
      </c>
      <c r="D14" s="17" t="s">
        <v>98</v>
      </c>
      <c r="E14" s="18">
        <v>46296.0</v>
      </c>
      <c r="F14" s="15" t="s">
        <v>40</v>
      </c>
      <c r="G14" s="19" t="s">
        <v>99</v>
      </c>
      <c r="H14" s="19" t="s">
        <v>100</v>
      </c>
      <c r="I14" s="19" t="s">
        <v>102</v>
      </c>
      <c r="J14" s="19" t="s">
        <v>103</v>
      </c>
      <c r="K14" s="20" t="s">
        <v>104</v>
      </c>
      <c r="L14" s="2"/>
      <c r="M14" s="2"/>
      <c r="N14" s="2"/>
      <c r="O14" s="2"/>
      <c r="P14" s="2"/>
      <c r="Q14" s="2"/>
      <c r="R14" s="2"/>
      <c r="S14" s="2"/>
      <c r="T14" s="2"/>
      <c r="U14" s="2"/>
      <c r="V14" s="2"/>
      <c r="W14" s="2"/>
      <c r="X14" s="2"/>
      <c r="Y14" s="2"/>
      <c r="Z14" s="2"/>
    </row>
    <row r="15" ht="14.25" customHeight="1">
      <c r="A15" s="21"/>
      <c r="B15" s="21"/>
      <c r="C15" s="21"/>
      <c r="D15" s="21"/>
      <c r="E15" s="21"/>
      <c r="F15" s="21"/>
      <c r="G15" s="21"/>
      <c r="H15" s="21"/>
      <c r="I15" s="21"/>
      <c r="J15" s="21"/>
      <c r="K15" s="21"/>
      <c r="L15" s="2"/>
      <c r="M15" s="2"/>
      <c r="N15" s="2"/>
      <c r="O15" s="2"/>
      <c r="P15" s="2"/>
      <c r="Q15" s="2"/>
      <c r="R15" s="2"/>
      <c r="S15" s="2"/>
      <c r="T15" s="2"/>
      <c r="U15" s="2"/>
      <c r="V15" s="2"/>
      <c r="W15" s="2"/>
      <c r="X15" s="2"/>
      <c r="Y15" s="2"/>
      <c r="Z15" s="2"/>
    </row>
    <row r="16" ht="14.25" customHeight="1">
      <c r="A16" s="21"/>
      <c r="B16" s="21"/>
      <c r="C16" s="21"/>
      <c r="D16" s="21"/>
      <c r="E16" s="21"/>
      <c r="F16" s="21"/>
      <c r="G16" s="21"/>
      <c r="H16" s="21"/>
      <c r="I16" s="21"/>
      <c r="J16" s="21"/>
      <c r="K16" s="21"/>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67.43"/>
    <col customWidth="1" min="3" max="26" width="11.43"/>
  </cols>
  <sheetData>
    <row r="1" ht="14.25" customHeight="1">
      <c r="A1" s="1" t="s">
        <v>1</v>
      </c>
      <c r="B1" s="2"/>
      <c r="C1" s="2"/>
      <c r="D1" s="2"/>
      <c r="E1" s="2"/>
      <c r="F1" s="2"/>
      <c r="G1" s="2"/>
      <c r="H1" s="2"/>
      <c r="I1" s="2"/>
      <c r="J1" s="2"/>
      <c r="K1" s="2"/>
      <c r="L1" s="2"/>
      <c r="M1" s="2"/>
      <c r="N1" s="2"/>
      <c r="O1" s="2"/>
      <c r="P1" s="2"/>
      <c r="Q1" s="2"/>
      <c r="R1" s="2"/>
      <c r="S1" s="2"/>
      <c r="T1" s="2"/>
      <c r="U1" s="2"/>
      <c r="V1" s="2"/>
      <c r="W1" s="2"/>
      <c r="X1" s="2"/>
      <c r="Y1" s="2"/>
      <c r="Z1" s="2"/>
    </row>
    <row r="2" ht="14.25" customHeight="1">
      <c r="A2" s="3" t="s">
        <v>3</v>
      </c>
      <c r="B2" s="2"/>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7" t="s">
        <v>17</v>
      </c>
      <c r="B4" s="7" t="s">
        <v>20</v>
      </c>
      <c r="C4" s="2"/>
      <c r="D4" s="2"/>
      <c r="E4" s="2"/>
      <c r="F4" s="2"/>
      <c r="G4" s="2"/>
      <c r="H4" s="2"/>
      <c r="I4" s="2"/>
      <c r="J4" s="2"/>
      <c r="K4" s="2"/>
      <c r="L4" s="2"/>
      <c r="M4" s="2"/>
      <c r="N4" s="2"/>
      <c r="O4" s="2"/>
      <c r="P4" s="2"/>
      <c r="Q4" s="2"/>
      <c r="R4" s="2"/>
      <c r="S4" s="2"/>
      <c r="T4" s="2"/>
      <c r="U4" s="2"/>
      <c r="V4" s="2"/>
      <c r="W4" s="2"/>
      <c r="X4" s="2"/>
      <c r="Y4" s="2"/>
      <c r="Z4" s="2"/>
    </row>
    <row r="5" ht="14.25" customHeight="1">
      <c r="A5" s="13" t="str">
        <f>'Lecciones Aprendidas'!A4</f>
        <v>Nro. De Referencia</v>
      </c>
      <c r="B5" s="12" t="s">
        <v>39</v>
      </c>
      <c r="C5" s="2"/>
      <c r="D5" s="2"/>
      <c r="E5" s="2"/>
      <c r="F5" s="2"/>
      <c r="G5" s="2"/>
      <c r="H5" s="2"/>
      <c r="I5" s="2"/>
      <c r="J5" s="2"/>
      <c r="K5" s="2"/>
      <c r="L5" s="2"/>
      <c r="M5" s="2"/>
      <c r="N5" s="2"/>
      <c r="O5" s="2"/>
      <c r="P5" s="2"/>
      <c r="Q5" s="2"/>
      <c r="R5" s="2"/>
      <c r="S5" s="2"/>
      <c r="T5" s="2"/>
      <c r="U5" s="2"/>
      <c r="V5" s="2"/>
      <c r="W5" s="2"/>
      <c r="X5" s="2"/>
      <c r="Y5" s="2"/>
      <c r="Z5" s="2"/>
    </row>
    <row r="6" ht="14.25" customHeight="1">
      <c r="A6" s="13" t="str">
        <f>'Lecciones Aprendidas'!B4</f>
        <v>Código de Proyecto</v>
      </c>
      <c r="B6" s="12" t="s">
        <v>61</v>
      </c>
      <c r="C6" s="2"/>
      <c r="D6" s="2"/>
      <c r="E6" s="2"/>
      <c r="F6" s="2"/>
      <c r="G6" s="2"/>
      <c r="H6" s="2"/>
      <c r="I6" s="2"/>
      <c r="J6" s="2"/>
      <c r="K6" s="2"/>
      <c r="L6" s="2"/>
      <c r="M6" s="2"/>
      <c r="N6" s="2"/>
      <c r="O6" s="2"/>
      <c r="P6" s="2"/>
      <c r="Q6" s="2"/>
      <c r="R6" s="2"/>
      <c r="S6" s="2"/>
      <c r="T6" s="2"/>
      <c r="U6" s="2"/>
      <c r="V6" s="2"/>
      <c r="W6" s="2"/>
      <c r="X6" s="2"/>
      <c r="Y6" s="2"/>
      <c r="Z6" s="2"/>
    </row>
    <row r="7" ht="14.25" customHeight="1">
      <c r="A7" s="13" t="str">
        <f>'Lecciones Aprendidas'!C4</f>
        <v>Nombre del Proyecto</v>
      </c>
      <c r="B7" s="12" t="s">
        <v>77</v>
      </c>
      <c r="C7" s="2"/>
      <c r="D7" s="2"/>
      <c r="E7" s="2"/>
      <c r="F7" s="2"/>
      <c r="G7" s="2"/>
      <c r="H7" s="2"/>
      <c r="I7" s="2"/>
      <c r="J7" s="2"/>
      <c r="K7" s="2"/>
      <c r="L7" s="2"/>
      <c r="M7" s="2"/>
      <c r="N7" s="2"/>
      <c r="O7" s="2"/>
      <c r="P7" s="2"/>
      <c r="Q7" s="2"/>
      <c r="R7" s="2"/>
      <c r="S7" s="2"/>
      <c r="T7" s="2"/>
      <c r="U7" s="2"/>
      <c r="V7" s="2"/>
      <c r="W7" s="2"/>
      <c r="X7" s="2"/>
      <c r="Y7" s="2"/>
      <c r="Z7" s="2"/>
    </row>
    <row r="8" ht="14.25" customHeight="1">
      <c r="A8" s="13" t="str">
        <f>'Lecciones Aprendidas'!D4</f>
        <v>Área / Categoría</v>
      </c>
      <c r="B8" s="12" t="s">
        <v>95</v>
      </c>
      <c r="C8" s="2"/>
      <c r="D8" s="2"/>
      <c r="E8" s="2"/>
      <c r="F8" s="2"/>
      <c r="G8" s="2"/>
      <c r="H8" s="2"/>
      <c r="I8" s="2"/>
      <c r="J8" s="2"/>
      <c r="K8" s="2"/>
      <c r="L8" s="2"/>
      <c r="M8" s="2"/>
      <c r="N8" s="2"/>
      <c r="O8" s="2"/>
      <c r="P8" s="2"/>
      <c r="Q8" s="2"/>
      <c r="R8" s="2"/>
      <c r="S8" s="2"/>
      <c r="T8" s="2"/>
      <c r="U8" s="2"/>
      <c r="V8" s="2"/>
      <c r="W8" s="2"/>
      <c r="X8" s="2"/>
      <c r="Y8" s="2"/>
      <c r="Z8" s="2"/>
    </row>
    <row r="9" ht="14.25" customHeight="1">
      <c r="A9" s="13" t="str">
        <f>'Lecciones Aprendidas'!E4</f>
        <v>Fecha</v>
      </c>
      <c r="B9" s="12" t="s">
        <v>101</v>
      </c>
      <c r="C9" s="2"/>
      <c r="D9" s="2"/>
      <c r="E9" s="2"/>
      <c r="F9" s="2"/>
      <c r="G9" s="2"/>
      <c r="H9" s="2"/>
      <c r="I9" s="2"/>
      <c r="J9" s="2"/>
      <c r="K9" s="2"/>
      <c r="L9" s="2"/>
      <c r="M9" s="2"/>
      <c r="N9" s="2"/>
      <c r="O9" s="2"/>
      <c r="P9" s="2"/>
      <c r="Q9" s="2"/>
      <c r="R9" s="2"/>
      <c r="S9" s="2"/>
      <c r="T9" s="2"/>
      <c r="U9" s="2"/>
      <c r="V9" s="2"/>
      <c r="W9" s="2"/>
      <c r="X9" s="2"/>
      <c r="Y9" s="2"/>
      <c r="Z9" s="2"/>
    </row>
    <row r="10" ht="14.25" customHeight="1">
      <c r="A10" s="13" t="str">
        <f>'Lecciones Aprendidas'!F4</f>
        <v>Amenaza / Oportunidad</v>
      </c>
      <c r="B10" s="12" t="s">
        <v>105</v>
      </c>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13" t="str">
        <f>'Lecciones Aprendidas'!G4</f>
        <v>Título</v>
      </c>
      <c r="B11" s="12" t="s">
        <v>106</v>
      </c>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13" t="str">
        <f>'Lecciones Aprendidas'!H4</f>
        <v>Descripción de la Situación</v>
      </c>
      <c r="B12" s="12" t="s">
        <v>107</v>
      </c>
      <c r="C12" s="2"/>
      <c r="D12" s="2"/>
      <c r="E12" s="2"/>
      <c r="F12" s="2"/>
      <c r="G12" s="2"/>
      <c r="H12" s="2"/>
      <c r="I12" s="2"/>
      <c r="J12" s="2"/>
      <c r="K12" s="2"/>
      <c r="L12" s="2"/>
      <c r="M12" s="2"/>
      <c r="N12" s="2"/>
      <c r="O12" s="2"/>
      <c r="P12" s="2"/>
      <c r="Q12" s="2"/>
      <c r="R12" s="2"/>
      <c r="S12" s="2"/>
      <c r="T12" s="2"/>
      <c r="U12" s="2"/>
      <c r="V12" s="2"/>
      <c r="W12" s="2"/>
      <c r="X12" s="2"/>
      <c r="Y12" s="2"/>
      <c r="Z12" s="2"/>
    </row>
    <row r="13" ht="14.25" customHeight="1">
      <c r="A13" s="13" t="str">
        <f>'Lecciones Aprendidas'!I4</f>
        <v>Descripción del Impacto en los objetivos del proyecto</v>
      </c>
      <c r="B13" s="12" t="s">
        <v>108</v>
      </c>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13" t="str">
        <f>'Lecciones Aprendidas'!J4</f>
        <v>Acciones Correctivas y Preventivas Implementadas</v>
      </c>
      <c r="B14" s="12" t="s">
        <v>109</v>
      </c>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13" t="str">
        <f>'Lecciones Aprendidas'!K4</f>
        <v>Lección Aprendida / Recomendaciones</v>
      </c>
      <c r="B15" s="12" t="s">
        <v>110</v>
      </c>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3.86"/>
    <col customWidth="1" min="3" max="3" width="20.0"/>
    <col customWidth="1" min="4" max="4" width="15.29"/>
    <col customWidth="1" min="5" max="5" width="12.57"/>
    <col customWidth="1" min="6" max="6" width="12.29"/>
    <col customWidth="1" min="7" max="7" width="24.43"/>
    <col customWidth="1" min="8" max="8" width="37.57"/>
    <col customWidth="1" min="9" max="9" width="26.0"/>
    <col customWidth="1" min="10" max="10" width="36.57"/>
    <col customWidth="1" min="11" max="11" width="33.43"/>
    <col customWidth="1" min="12" max="26" width="11.43"/>
  </cols>
  <sheetData>
    <row r="1" ht="14.25" customHeight="1">
      <c r="A1" s="1" t="s">
        <v>2</v>
      </c>
      <c r="B1" s="2"/>
      <c r="C1" s="2"/>
      <c r="D1" s="2"/>
      <c r="E1" s="2"/>
      <c r="F1" s="2"/>
      <c r="G1" s="2"/>
      <c r="H1" s="2"/>
      <c r="I1" s="2"/>
      <c r="J1" s="2"/>
      <c r="K1" s="2"/>
      <c r="L1" s="2"/>
      <c r="M1" s="2"/>
      <c r="N1" s="2"/>
      <c r="O1" s="2"/>
      <c r="P1" s="2"/>
      <c r="Q1" s="2"/>
      <c r="R1" s="2"/>
      <c r="S1" s="2"/>
      <c r="T1" s="2"/>
      <c r="U1" s="2"/>
      <c r="V1" s="2"/>
      <c r="W1" s="2"/>
      <c r="X1" s="2"/>
      <c r="Y1" s="2"/>
      <c r="Z1" s="2"/>
    </row>
    <row r="2" ht="14.25" customHeight="1">
      <c r="A2" s="3" t="s">
        <v>3</v>
      </c>
      <c r="B2" s="2"/>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4" t="s">
        <v>4</v>
      </c>
      <c r="B4" s="4" t="s">
        <v>5</v>
      </c>
      <c r="C4" s="4" t="s">
        <v>6</v>
      </c>
      <c r="D4" s="4" t="s">
        <v>7</v>
      </c>
      <c r="E4" s="4" t="s">
        <v>8</v>
      </c>
      <c r="F4" s="4" t="s">
        <v>9</v>
      </c>
      <c r="G4" s="4" t="s">
        <v>10</v>
      </c>
      <c r="H4" s="4" t="s">
        <v>11</v>
      </c>
      <c r="I4" s="4" t="s">
        <v>12</v>
      </c>
      <c r="J4" s="4" t="s">
        <v>13</v>
      </c>
      <c r="K4" s="4" t="s">
        <v>14</v>
      </c>
      <c r="L4" s="2"/>
      <c r="M4" s="2"/>
      <c r="N4" s="2"/>
      <c r="O4" s="2"/>
      <c r="P4" s="2"/>
      <c r="Q4" s="2"/>
      <c r="R4" s="2"/>
      <c r="S4" s="2"/>
      <c r="T4" s="2"/>
      <c r="U4" s="2"/>
      <c r="V4" s="2"/>
      <c r="W4" s="2"/>
      <c r="X4" s="2"/>
      <c r="Y4" s="2"/>
      <c r="Z4" s="2"/>
    </row>
    <row r="5" ht="14.25" customHeight="1">
      <c r="A5" s="12" t="s">
        <v>27</v>
      </c>
      <c r="B5" s="12" t="s">
        <v>27</v>
      </c>
      <c r="C5" s="12" t="s">
        <v>32</v>
      </c>
      <c r="D5" s="12" t="s">
        <v>34</v>
      </c>
      <c r="E5" s="14">
        <v>40844.0</v>
      </c>
      <c r="F5" s="12" t="s">
        <v>40</v>
      </c>
      <c r="G5" s="12" t="s">
        <v>42</v>
      </c>
      <c r="H5" s="12" t="s">
        <v>43</v>
      </c>
      <c r="I5" s="12" t="s">
        <v>44</v>
      </c>
      <c r="J5" s="12" t="s">
        <v>47</v>
      </c>
      <c r="K5" s="12" t="s">
        <v>49</v>
      </c>
      <c r="L5" s="2"/>
      <c r="M5" s="2"/>
      <c r="N5" s="2"/>
      <c r="O5" s="2"/>
      <c r="P5" s="2"/>
      <c r="Q5" s="2"/>
      <c r="R5" s="2"/>
      <c r="S5" s="2"/>
      <c r="T5" s="2"/>
      <c r="U5" s="2"/>
      <c r="V5" s="2"/>
      <c r="W5" s="2"/>
      <c r="X5" s="2"/>
      <c r="Y5" s="2"/>
      <c r="Z5" s="2"/>
    </row>
    <row r="6" ht="14.25" customHeight="1">
      <c r="A6" s="2"/>
      <c r="B6" s="2"/>
      <c r="C6" s="2"/>
      <c r="D6" s="2"/>
      <c r="E6" s="2"/>
      <c r="F6" s="2"/>
      <c r="G6" s="2"/>
      <c r="H6" s="2"/>
      <c r="I6" s="2"/>
      <c r="J6" s="2"/>
      <c r="K6" s="2"/>
      <c r="L6" s="2"/>
      <c r="M6" s="2"/>
      <c r="N6" s="2"/>
      <c r="O6" s="2"/>
      <c r="P6" s="2"/>
      <c r="Q6" s="2"/>
      <c r="R6" s="2"/>
      <c r="S6" s="2"/>
      <c r="T6" s="2"/>
      <c r="U6" s="2"/>
      <c r="V6" s="2"/>
      <c r="W6" s="2"/>
      <c r="X6" s="2"/>
      <c r="Y6" s="2"/>
      <c r="Z6" s="2"/>
    </row>
    <row r="7" ht="14.25" customHeight="1">
      <c r="A7" s="2"/>
      <c r="B7" s="2"/>
      <c r="C7" s="2"/>
      <c r="D7" s="2"/>
      <c r="E7" s="2"/>
      <c r="F7" s="2"/>
      <c r="G7" s="2"/>
      <c r="H7" s="2"/>
      <c r="I7" s="2"/>
      <c r="J7" s="2"/>
      <c r="K7" s="2"/>
      <c r="L7" s="2"/>
      <c r="M7" s="2"/>
      <c r="N7" s="2"/>
      <c r="O7" s="2"/>
      <c r="P7" s="2"/>
      <c r="Q7" s="2"/>
      <c r="R7" s="2"/>
      <c r="S7" s="2"/>
      <c r="T7" s="2"/>
      <c r="U7" s="2"/>
      <c r="V7" s="2"/>
      <c r="W7" s="2"/>
      <c r="X7" s="2"/>
      <c r="Y7" s="2"/>
      <c r="Z7" s="2"/>
    </row>
    <row r="8" ht="14.25" customHeight="1">
      <c r="A8" s="2"/>
      <c r="B8" s="2"/>
      <c r="C8" s="2"/>
      <c r="D8" s="2"/>
      <c r="E8" s="2"/>
      <c r="F8" s="2"/>
      <c r="G8" s="2"/>
      <c r="H8" s="2"/>
      <c r="I8" s="2"/>
      <c r="J8" s="2"/>
      <c r="K8" s="2"/>
      <c r="L8" s="2"/>
      <c r="M8" s="2"/>
      <c r="N8" s="2"/>
      <c r="O8" s="2"/>
      <c r="P8" s="2"/>
      <c r="Q8" s="2"/>
      <c r="R8" s="2"/>
      <c r="S8" s="2"/>
      <c r="T8" s="2"/>
      <c r="U8" s="2"/>
      <c r="V8" s="2"/>
      <c r="W8" s="2"/>
      <c r="X8" s="2"/>
      <c r="Y8" s="2"/>
      <c r="Z8" s="2"/>
    </row>
    <row r="9" ht="14.25" customHeight="1">
      <c r="A9" s="2"/>
      <c r="B9" s="2"/>
      <c r="C9" s="2"/>
      <c r="D9" s="2"/>
      <c r="E9" s="2"/>
      <c r="F9" s="2"/>
      <c r="G9" s="2"/>
      <c r="H9" s="2"/>
      <c r="I9" s="2"/>
      <c r="J9" s="2"/>
      <c r="K9" s="2"/>
      <c r="L9" s="2"/>
      <c r="M9" s="2"/>
      <c r="N9" s="2"/>
      <c r="O9" s="2"/>
      <c r="P9" s="2"/>
      <c r="Q9" s="2"/>
      <c r="R9" s="2"/>
      <c r="S9" s="2"/>
      <c r="T9" s="2"/>
      <c r="U9" s="2"/>
      <c r="V9" s="2"/>
      <c r="W9" s="2"/>
      <c r="X9" s="2"/>
      <c r="Y9" s="2"/>
      <c r="Z9" s="2"/>
    </row>
    <row r="10"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4.2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